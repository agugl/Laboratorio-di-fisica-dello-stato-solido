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  <sheet state="visible" name="Foglio3" sheetId="3" r:id="rId6"/>
  </sheets>
  <definedNames/>
  <calcPr/>
  <extLst>
    <ext uri="GoogleSheetsCustomDataVersion2">
      <go:sheetsCustomData xmlns:go="http://customooxmlschemas.google.com/" r:id="rId7" roundtripDataChecksum="dp04MqEKElG6aJmage3vnGgVcamYGBYumhWR9baaZBc="/>
    </ext>
  </extLst>
</workbook>
</file>

<file path=xl/sharedStrings.xml><?xml version="1.0" encoding="utf-8"?>
<sst xmlns="http://schemas.openxmlformats.org/spreadsheetml/2006/main" count="18" uniqueCount="17">
  <si>
    <t>RISPOSTA SPETTRALE GIUNZIONE P-N</t>
  </si>
  <si>
    <t>λ (A)</t>
  </si>
  <si>
    <t>I (mA)</t>
  </si>
  <si>
    <t>err lam (A)</t>
  </si>
  <si>
    <t>I u. a. (A)</t>
  </si>
  <si>
    <t>TERMOPILA</t>
  </si>
  <si>
    <t>λ</t>
  </si>
  <si>
    <t>V (mV)</t>
  </si>
  <si>
    <t>V (V)</t>
  </si>
  <si>
    <t>P</t>
  </si>
  <si>
    <t>err V</t>
  </si>
  <si>
    <t>p (mW)</t>
  </si>
  <si>
    <t>P u.a.</t>
  </si>
  <si>
    <t>responsività</t>
  </si>
  <si>
    <t>I (A)</t>
  </si>
  <si>
    <t>P (W)</t>
  </si>
  <si>
    <t>Resp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</si>
</sst>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1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Foglio1!$A$4:$A$109</c:f>
            </c:numRef>
          </c:xVal>
          <c:yVal>
            <c:numRef>
              <c:f>Foglio1!$D$4:$D$109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16868"/>
        <c:axId val="1805145609"/>
      </c:scatterChart>
      <c:valAx>
        <c:axId val="6962168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5145609"/>
      </c:valAx>
      <c:valAx>
        <c:axId val="1805145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621686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Foglio2!$A$4:$A$109</c:f>
            </c:numRef>
          </c:xVal>
          <c:yVal>
            <c:numRef>
              <c:f>Foglio2!$G$4:$G$109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924527"/>
        <c:axId val="1664512838"/>
      </c:scatterChart>
      <c:valAx>
        <c:axId val="21049245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4512838"/>
      </c:valAx>
      <c:valAx>
        <c:axId val="16645128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492452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658114610673667"/>
          <c:y val="0.07172462817147855"/>
          <c:w val="0.8023077427821522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Foglio3!$A$4:$A$108</c:f>
            </c:numRef>
          </c:xVal>
          <c:yVal>
            <c:numRef>
              <c:f>Foglio3!$E$4:$E$108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628005"/>
        <c:axId val="993423372"/>
      </c:scatterChart>
      <c:valAx>
        <c:axId val="4096280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3423372"/>
      </c:valAx>
      <c:valAx>
        <c:axId val="99342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962800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658114610673667"/>
          <c:y val="0.07172462817147855"/>
          <c:w val="0.8023077427821522"/>
          <c:h val="0.8416746864975212"/>
        </c:manualLayout>
      </c:layout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Foglio3!$G$5:$G$108</c:f>
            </c:numRef>
          </c:xVal>
          <c:yVal>
            <c:numRef>
              <c:f>Foglio3!$H$5:$H$108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Foglio3!$G$5:$G$108</c:f>
            </c:numRef>
          </c:xVal>
          <c:yVal>
            <c:numRef>
              <c:f>Foglio3!$J$5:$J$108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505505"/>
        <c:axId val="278985934"/>
      </c:scatterChart>
      <c:valAx>
        <c:axId val="18665055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8985934"/>
      </c:valAx>
      <c:valAx>
        <c:axId val="278985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650550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10</xdr:row>
      <xdr:rowOff>95250</xdr:rowOff>
    </xdr:from>
    <xdr:ext cx="4371975" cy="2714625"/>
    <xdr:graphicFrame>
      <xdr:nvGraphicFramePr>
        <xdr:cNvPr id="200976850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533400</xdr:colOff>
      <xdr:row>6</xdr:row>
      <xdr:rowOff>0</xdr:rowOff>
    </xdr:from>
    <xdr:ext cx="4343400" cy="2714625"/>
    <xdr:graphicFrame>
      <xdr:nvGraphicFramePr>
        <xdr:cNvPr id="18778209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1</xdr:row>
      <xdr:rowOff>76200</xdr:rowOff>
    </xdr:from>
    <xdr:ext cx="4371975" cy="2714625"/>
    <xdr:graphicFrame>
      <xdr:nvGraphicFramePr>
        <xdr:cNvPr id="155648286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304800</xdr:colOff>
      <xdr:row>17</xdr:row>
      <xdr:rowOff>66675</xdr:rowOff>
    </xdr:from>
    <xdr:ext cx="4343400" cy="2714625"/>
    <xdr:graphicFrame>
      <xdr:nvGraphicFramePr>
        <xdr:cNvPr id="54969130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1" t="s">
        <v>2</v>
      </c>
      <c r="C3" s="1" t="s">
        <v>3</v>
      </c>
      <c r="D3" s="1" t="s">
        <v>4</v>
      </c>
    </row>
    <row r="4" ht="14.25" customHeight="1">
      <c r="A4" s="1">
        <v>3745.0</v>
      </c>
      <c r="B4" s="3">
        <v>3.0E-5</v>
      </c>
      <c r="C4" s="1">
        <v>5.0</v>
      </c>
      <c r="D4" s="3">
        <f t="shared" ref="D4:D109" si="1">B4*0.001/(13*0.000001)</f>
        <v>0.002307692308</v>
      </c>
    </row>
    <row r="5" ht="14.25" customHeight="1">
      <c r="A5" s="1">
        <f t="shared" ref="A5:A24" si="2">A4+98</f>
        <v>3843</v>
      </c>
      <c r="B5" s="3">
        <v>5.0E-5</v>
      </c>
      <c r="D5" s="3">
        <f t="shared" si="1"/>
        <v>0.003846153846</v>
      </c>
    </row>
    <row r="6" ht="14.25" customHeight="1">
      <c r="A6" s="1">
        <f t="shared" si="2"/>
        <v>3941</v>
      </c>
      <c r="B6" s="3">
        <v>8.0E-5</v>
      </c>
      <c r="D6" s="3">
        <f t="shared" si="1"/>
        <v>0.006153846154</v>
      </c>
    </row>
    <row r="7" ht="14.25" customHeight="1">
      <c r="A7" s="1">
        <f t="shared" si="2"/>
        <v>4039</v>
      </c>
      <c r="B7" s="3">
        <v>1.3E-4</v>
      </c>
      <c r="D7" s="3">
        <f t="shared" si="1"/>
        <v>0.01</v>
      </c>
    </row>
    <row r="8" ht="14.25" customHeight="1">
      <c r="A8" s="1">
        <f t="shared" si="2"/>
        <v>4137</v>
      </c>
      <c r="B8" s="3">
        <v>1.8E-4</v>
      </c>
      <c r="D8" s="3">
        <f t="shared" si="1"/>
        <v>0.01384615385</v>
      </c>
    </row>
    <row r="9" ht="14.25" customHeight="1">
      <c r="A9" s="1">
        <f t="shared" si="2"/>
        <v>4235</v>
      </c>
      <c r="B9" s="3">
        <v>2.5E-4</v>
      </c>
      <c r="D9" s="3">
        <f t="shared" si="1"/>
        <v>0.01923076923</v>
      </c>
    </row>
    <row r="10" ht="14.25" customHeight="1">
      <c r="A10" s="1">
        <f t="shared" si="2"/>
        <v>4333</v>
      </c>
      <c r="B10" s="3">
        <v>3.3E-4</v>
      </c>
      <c r="D10" s="3">
        <f t="shared" si="1"/>
        <v>0.02538461538</v>
      </c>
    </row>
    <row r="11" ht="14.25" customHeight="1">
      <c r="A11" s="1">
        <f t="shared" si="2"/>
        <v>4431</v>
      </c>
      <c r="B11" s="3">
        <v>4.4E-4</v>
      </c>
      <c r="D11" s="3">
        <f t="shared" si="1"/>
        <v>0.03384615385</v>
      </c>
    </row>
    <row r="12" ht="14.25" customHeight="1">
      <c r="A12" s="1">
        <f t="shared" si="2"/>
        <v>4529</v>
      </c>
      <c r="B12" s="3">
        <v>5.5E-4</v>
      </c>
      <c r="D12" s="3">
        <f t="shared" si="1"/>
        <v>0.04230769231</v>
      </c>
    </row>
    <row r="13" ht="14.25" customHeight="1">
      <c r="A13" s="1">
        <f t="shared" si="2"/>
        <v>4627</v>
      </c>
      <c r="B13" s="3">
        <v>6.7E-4</v>
      </c>
      <c r="D13" s="3">
        <f t="shared" si="1"/>
        <v>0.05153846154</v>
      </c>
    </row>
    <row r="14" ht="14.25" customHeight="1">
      <c r="A14" s="1">
        <f t="shared" si="2"/>
        <v>4725</v>
      </c>
      <c r="B14" s="3">
        <v>7.5E-4</v>
      </c>
      <c r="D14" s="3">
        <f t="shared" si="1"/>
        <v>0.05769230769</v>
      </c>
    </row>
    <row r="15" ht="14.25" customHeight="1">
      <c r="A15" s="1">
        <f t="shared" si="2"/>
        <v>4823</v>
      </c>
      <c r="B15" s="3">
        <v>9.1E-4</v>
      </c>
      <c r="D15" s="3">
        <f t="shared" si="1"/>
        <v>0.07</v>
      </c>
    </row>
    <row r="16" ht="14.25" customHeight="1">
      <c r="A16" s="1">
        <f t="shared" si="2"/>
        <v>4921</v>
      </c>
      <c r="B16" s="3">
        <v>0.00103</v>
      </c>
      <c r="D16" s="3">
        <f t="shared" si="1"/>
        <v>0.07923076923</v>
      </c>
    </row>
    <row r="17" ht="14.25" customHeight="1">
      <c r="A17" s="1">
        <f t="shared" si="2"/>
        <v>5019</v>
      </c>
      <c r="B17" s="3">
        <v>0.00118</v>
      </c>
      <c r="D17" s="3">
        <f t="shared" si="1"/>
        <v>0.09076923077</v>
      </c>
    </row>
    <row r="18" ht="14.25" customHeight="1">
      <c r="A18" s="1">
        <f t="shared" si="2"/>
        <v>5117</v>
      </c>
      <c r="B18" s="3">
        <v>0.00136</v>
      </c>
      <c r="D18" s="3">
        <f t="shared" si="1"/>
        <v>0.1046153846</v>
      </c>
    </row>
    <row r="19" ht="14.25" customHeight="1">
      <c r="A19" s="1">
        <f t="shared" si="2"/>
        <v>5215</v>
      </c>
      <c r="B19" s="3">
        <v>0.00154</v>
      </c>
      <c r="D19" s="3">
        <f t="shared" si="1"/>
        <v>0.1184615385</v>
      </c>
    </row>
    <row r="20" ht="14.25" customHeight="1">
      <c r="A20" s="1">
        <f t="shared" si="2"/>
        <v>5313</v>
      </c>
      <c r="B20" s="3">
        <v>0.00175</v>
      </c>
      <c r="D20" s="3">
        <f t="shared" si="1"/>
        <v>0.1346153846</v>
      </c>
    </row>
    <row r="21" ht="14.25" customHeight="1">
      <c r="A21" s="1">
        <f t="shared" si="2"/>
        <v>5411</v>
      </c>
      <c r="B21" s="3">
        <v>0.00193</v>
      </c>
      <c r="D21" s="3">
        <f t="shared" si="1"/>
        <v>0.1484615385</v>
      </c>
    </row>
    <row r="22" ht="14.25" customHeight="1">
      <c r="A22" s="1">
        <f t="shared" si="2"/>
        <v>5509</v>
      </c>
      <c r="B22" s="3">
        <v>0.00219</v>
      </c>
      <c r="D22" s="3">
        <f t="shared" si="1"/>
        <v>0.1684615385</v>
      </c>
    </row>
    <row r="23" ht="14.25" customHeight="1">
      <c r="A23" s="1">
        <f t="shared" si="2"/>
        <v>5607</v>
      </c>
      <c r="B23" s="3">
        <v>0.00255</v>
      </c>
      <c r="D23" s="3">
        <f t="shared" si="1"/>
        <v>0.1961538462</v>
      </c>
    </row>
    <row r="24" ht="14.25" customHeight="1">
      <c r="A24" s="1">
        <f t="shared" si="2"/>
        <v>5705</v>
      </c>
      <c r="B24" s="3">
        <v>0.00266</v>
      </c>
      <c r="D24" s="3">
        <f t="shared" si="1"/>
        <v>0.2046153846</v>
      </c>
    </row>
    <row r="25" ht="14.25" customHeight="1">
      <c r="A25" s="1">
        <f t="shared" ref="A25:A57" si="3">A24+102</f>
        <v>5807</v>
      </c>
      <c r="B25" s="3">
        <v>0.00295</v>
      </c>
      <c r="D25" s="3">
        <f t="shared" si="1"/>
        <v>0.2269230769</v>
      </c>
    </row>
    <row r="26" ht="14.25" customHeight="1">
      <c r="A26" s="1">
        <f t="shared" si="3"/>
        <v>5909</v>
      </c>
      <c r="B26" s="3">
        <v>0.0036</v>
      </c>
      <c r="D26" s="3">
        <f t="shared" si="1"/>
        <v>0.2769230769</v>
      </c>
    </row>
    <row r="27" ht="14.25" customHeight="1">
      <c r="A27" s="1">
        <f t="shared" si="3"/>
        <v>6011</v>
      </c>
      <c r="B27" s="3">
        <v>0.00384</v>
      </c>
      <c r="D27" s="3">
        <f t="shared" si="1"/>
        <v>0.2953846154</v>
      </c>
    </row>
    <row r="28" ht="14.25" customHeight="1">
      <c r="A28" s="1">
        <f t="shared" si="3"/>
        <v>6113</v>
      </c>
      <c r="B28" s="3">
        <v>0.00388</v>
      </c>
      <c r="D28" s="3">
        <f t="shared" si="1"/>
        <v>0.2984615385</v>
      </c>
    </row>
    <row r="29" ht="14.25" customHeight="1">
      <c r="A29" s="1">
        <f t="shared" si="3"/>
        <v>6215</v>
      </c>
      <c r="B29" s="3">
        <v>0.00399</v>
      </c>
      <c r="D29" s="3">
        <f t="shared" si="1"/>
        <v>0.3069230769</v>
      </c>
    </row>
    <row r="30" ht="14.25" customHeight="1">
      <c r="A30" s="1">
        <f t="shared" si="3"/>
        <v>6317</v>
      </c>
      <c r="B30" s="3">
        <v>0.00414</v>
      </c>
      <c r="D30" s="3">
        <f t="shared" si="1"/>
        <v>0.3184615385</v>
      </c>
    </row>
    <row r="31" ht="14.25" customHeight="1">
      <c r="A31" s="1">
        <f t="shared" si="3"/>
        <v>6419</v>
      </c>
      <c r="B31" s="3">
        <v>0.00432</v>
      </c>
      <c r="D31" s="3">
        <f t="shared" si="1"/>
        <v>0.3323076923</v>
      </c>
    </row>
    <row r="32" ht="14.25" customHeight="1">
      <c r="A32" s="1">
        <f t="shared" si="3"/>
        <v>6521</v>
      </c>
      <c r="B32" s="3">
        <v>0.004449</v>
      </c>
      <c r="D32" s="3">
        <f t="shared" si="1"/>
        <v>0.3422307692</v>
      </c>
    </row>
    <row r="33" ht="14.25" customHeight="1">
      <c r="A33" s="1">
        <f t="shared" si="3"/>
        <v>6623</v>
      </c>
      <c r="B33" s="3">
        <v>0.00466</v>
      </c>
      <c r="D33" s="3">
        <f t="shared" si="1"/>
        <v>0.3584615385</v>
      </c>
    </row>
    <row r="34" ht="14.25" customHeight="1">
      <c r="A34" s="1">
        <f t="shared" si="3"/>
        <v>6725</v>
      </c>
      <c r="B34" s="3">
        <v>0.00482</v>
      </c>
      <c r="D34" s="3">
        <f t="shared" si="1"/>
        <v>0.3707692308</v>
      </c>
    </row>
    <row r="35" ht="14.25" customHeight="1">
      <c r="A35" s="1">
        <f t="shared" si="3"/>
        <v>6827</v>
      </c>
      <c r="B35" s="3">
        <v>0.00497</v>
      </c>
      <c r="D35" s="3">
        <f t="shared" si="1"/>
        <v>0.3823076923</v>
      </c>
    </row>
    <row r="36" ht="14.25" customHeight="1">
      <c r="A36" s="1">
        <f t="shared" si="3"/>
        <v>6929</v>
      </c>
      <c r="B36" s="3">
        <v>0.0051</v>
      </c>
      <c r="D36" s="3">
        <f t="shared" si="1"/>
        <v>0.3923076923</v>
      </c>
    </row>
    <row r="37" ht="14.25" customHeight="1">
      <c r="A37" s="1">
        <f t="shared" si="3"/>
        <v>7031</v>
      </c>
      <c r="B37" s="3">
        <v>0.00522</v>
      </c>
      <c r="D37" s="3">
        <f t="shared" si="1"/>
        <v>0.4015384615</v>
      </c>
    </row>
    <row r="38" ht="14.25" customHeight="1">
      <c r="A38" s="1">
        <f t="shared" si="3"/>
        <v>7133</v>
      </c>
      <c r="B38" s="3">
        <v>0.0053</v>
      </c>
      <c r="D38" s="3">
        <f t="shared" si="1"/>
        <v>0.4076923077</v>
      </c>
    </row>
    <row r="39" ht="14.25" customHeight="1">
      <c r="A39" s="1">
        <f t="shared" si="3"/>
        <v>7235</v>
      </c>
      <c r="B39" s="3">
        <v>0.00537</v>
      </c>
      <c r="D39" s="3">
        <f t="shared" si="1"/>
        <v>0.4130769231</v>
      </c>
    </row>
    <row r="40" ht="14.25" customHeight="1">
      <c r="A40" s="1">
        <f t="shared" si="3"/>
        <v>7337</v>
      </c>
      <c r="B40" s="3">
        <v>0.00541</v>
      </c>
      <c r="D40" s="3">
        <f t="shared" si="1"/>
        <v>0.4161538462</v>
      </c>
    </row>
    <row r="41" ht="14.25" customHeight="1">
      <c r="A41" s="1">
        <f t="shared" si="3"/>
        <v>7439</v>
      </c>
      <c r="B41" s="3">
        <v>0.00541</v>
      </c>
      <c r="D41" s="3">
        <f t="shared" si="1"/>
        <v>0.4161538462</v>
      </c>
    </row>
    <row r="42" ht="14.25" customHeight="1">
      <c r="A42" s="1">
        <f t="shared" si="3"/>
        <v>7541</v>
      </c>
      <c r="B42" s="3">
        <v>0.00535</v>
      </c>
      <c r="D42" s="3">
        <f t="shared" si="1"/>
        <v>0.4115384615</v>
      </c>
    </row>
    <row r="43" ht="14.25" customHeight="1">
      <c r="A43" s="1">
        <f t="shared" si="3"/>
        <v>7643</v>
      </c>
      <c r="B43" s="3">
        <v>0.00559</v>
      </c>
      <c r="D43" s="3">
        <f t="shared" si="1"/>
        <v>0.43</v>
      </c>
    </row>
    <row r="44" ht="14.25" customHeight="1">
      <c r="A44" s="1">
        <f t="shared" si="3"/>
        <v>7745</v>
      </c>
      <c r="B44" s="3">
        <v>0.00638</v>
      </c>
      <c r="D44" s="3">
        <f t="shared" si="1"/>
        <v>0.4907692308</v>
      </c>
    </row>
    <row r="45" ht="14.25" customHeight="1">
      <c r="A45" s="1">
        <f t="shared" si="3"/>
        <v>7847</v>
      </c>
      <c r="B45" s="3">
        <v>0.00591</v>
      </c>
      <c r="D45" s="3">
        <f t="shared" si="1"/>
        <v>0.4546153846</v>
      </c>
    </row>
    <row r="46" ht="14.25" customHeight="1">
      <c r="A46" s="1">
        <f t="shared" si="3"/>
        <v>7949</v>
      </c>
      <c r="B46" s="3">
        <v>0.00541</v>
      </c>
      <c r="D46" s="3">
        <f t="shared" si="1"/>
        <v>0.4161538462</v>
      </c>
    </row>
    <row r="47" ht="14.25" customHeight="1">
      <c r="A47" s="1">
        <f t="shared" si="3"/>
        <v>8051</v>
      </c>
      <c r="B47" s="3">
        <v>0.00512</v>
      </c>
      <c r="D47" s="3">
        <f t="shared" si="1"/>
        <v>0.3938461538</v>
      </c>
    </row>
    <row r="48" ht="14.25" customHeight="1">
      <c r="A48" s="1">
        <f t="shared" si="3"/>
        <v>8153</v>
      </c>
      <c r="B48" s="3">
        <v>0.00498</v>
      </c>
      <c r="D48" s="3">
        <f t="shared" si="1"/>
        <v>0.3830769231</v>
      </c>
    </row>
    <row r="49" ht="14.25" customHeight="1">
      <c r="A49" s="1">
        <f t="shared" si="3"/>
        <v>8255</v>
      </c>
      <c r="B49" s="3">
        <v>0.00495</v>
      </c>
      <c r="D49" s="3">
        <f t="shared" si="1"/>
        <v>0.3807692308</v>
      </c>
    </row>
    <row r="50" ht="14.25" customHeight="1">
      <c r="A50" s="1">
        <f t="shared" si="3"/>
        <v>8357</v>
      </c>
      <c r="B50" s="3">
        <v>0.00502</v>
      </c>
      <c r="D50" s="3">
        <f t="shared" si="1"/>
        <v>0.3861538462</v>
      </c>
    </row>
    <row r="51" ht="14.25" customHeight="1">
      <c r="A51" s="1">
        <f t="shared" si="3"/>
        <v>8459</v>
      </c>
      <c r="B51" s="3">
        <v>0.00521</v>
      </c>
      <c r="D51" s="3">
        <f t="shared" si="1"/>
        <v>0.4007692308</v>
      </c>
    </row>
    <row r="52" ht="14.25" customHeight="1">
      <c r="A52" s="1">
        <f t="shared" si="3"/>
        <v>8561</v>
      </c>
      <c r="B52" s="3">
        <v>0.00553</v>
      </c>
      <c r="D52" s="3">
        <f t="shared" si="1"/>
        <v>0.4253846154</v>
      </c>
    </row>
    <row r="53" ht="14.25" customHeight="1">
      <c r="A53" s="1">
        <f t="shared" si="3"/>
        <v>8663</v>
      </c>
      <c r="B53" s="3">
        <v>0.00592</v>
      </c>
      <c r="D53" s="3">
        <f t="shared" si="1"/>
        <v>0.4553846154</v>
      </c>
    </row>
    <row r="54" ht="14.25" customHeight="1">
      <c r="A54" s="1">
        <f t="shared" si="3"/>
        <v>8765</v>
      </c>
      <c r="B54" s="3">
        <v>0.00642</v>
      </c>
      <c r="D54" s="3">
        <f t="shared" si="1"/>
        <v>0.4938461538</v>
      </c>
    </row>
    <row r="55" ht="14.25" customHeight="1">
      <c r="A55" s="1">
        <f t="shared" si="3"/>
        <v>8867</v>
      </c>
      <c r="B55" s="3">
        <v>0.00696</v>
      </c>
      <c r="D55" s="3">
        <f t="shared" si="1"/>
        <v>0.5353846154</v>
      </c>
    </row>
    <row r="56" ht="14.25" customHeight="1">
      <c r="A56" s="1">
        <f t="shared" si="3"/>
        <v>8969</v>
      </c>
      <c r="B56" s="3">
        <v>0.00753</v>
      </c>
      <c r="D56" s="3">
        <f t="shared" si="1"/>
        <v>0.5792307692</v>
      </c>
    </row>
    <row r="57" ht="14.25" customHeight="1">
      <c r="A57" s="1">
        <f t="shared" si="3"/>
        <v>9071</v>
      </c>
      <c r="B57" s="3">
        <v>0.00811</v>
      </c>
      <c r="D57" s="3">
        <f t="shared" si="1"/>
        <v>0.6238461538</v>
      </c>
    </row>
    <row r="58" ht="14.25" customHeight="1">
      <c r="A58" s="1">
        <f t="shared" ref="A58:A109" si="4">A57+51</f>
        <v>9122</v>
      </c>
      <c r="B58" s="3">
        <v>0.0083</v>
      </c>
      <c r="D58" s="3">
        <f t="shared" si="1"/>
        <v>0.6384615385</v>
      </c>
    </row>
    <row r="59" ht="14.25" customHeight="1">
      <c r="A59" s="1">
        <f t="shared" si="4"/>
        <v>9173</v>
      </c>
      <c r="B59" s="3">
        <v>0.00865</v>
      </c>
      <c r="D59" s="3">
        <f t="shared" si="1"/>
        <v>0.6653846154</v>
      </c>
    </row>
    <row r="60" ht="14.25" customHeight="1">
      <c r="A60" s="1">
        <f t="shared" si="4"/>
        <v>9224</v>
      </c>
      <c r="B60" s="3">
        <v>0.00892</v>
      </c>
      <c r="D60" s="3">
        <f t="shared" si="1"/>
        <v>0.6861538462</v>
      </c>
    </row>
    <row r="61" ht="14.25" customHeight="1">
      <c r="A61" s="1">
        <f t="shared" si="4"/>
        <v>9275</v>
      </c>
      <c r="B61" s="3">
        <v>0.00915</v>
      </c>
      <c r="D61" s="3">
        <f t="shared" si="1"/>
        <v>0.7038461538</v>
      </c>
    </row>
    <row r="62" ht="14.25" customHeight="1">
      <c r="A62" s="1">
        <f t="shared" si="4"/>
        <v>9326</v>
      </c>
      <c r="B62" s="3">
        <v>0.00937</v>
      </c>
      <c r="D62" s="3">
        <f t="shared" si="1"/>
        <v>0.7207692308</v>
      </c>
    </row>
    <row r="63" ht="14.25" customHeight="1">
      <c r="A63" s="1">
        <f t="shared" si="4"/>
        <v>9377</v>
      </c>
      <c r="B63" s="3">
        <v>0.00953</v>
      </c>
      <c r="D63" s="3">
        <f t="shared" si="1"/>
        <v>0.7330769231</v>
      </c>
    </row>
    <row r="64" ht="14.25" customHeight="1">
      <c r="A64" s="1">
        <f t="shared" si="4"/>
        <v>9428</v>
      </c>
      <c r="B64" s="3">
        <v>0.0097</v>
      </c>
      <c r="D64" s="3">
        <f t="shared" si="1"/>
        <v>0.7461538462</v>
      </c>
    </row>
    <row r="65" ht="14.25" customHeight="1">
      <c r="A65" s="1">
        <f t="shared" si="4"/>
        <v>9479</v>
      </c>
      <c r="B65" s="3">
        <v>0.00987</v>
      </c>
      <c r="D65" s="3">
        <f t="shared" si="1"/>
        <v>0.7592307692</v>
      </c>
    </row>
    <row r="66" ht="14.25" customHeight="1">
      <c r="A66" s="1">
        <f t="shared" si="4"/>
        <v>9530</v>
      </c>
      <c r="B66" s="3">
        <v>0.01</v>
      </c>
      <c r="D66" s="3">
        <f t="shared" si="1"/>
        <v>0.7692307692</v>
      </c>
    </row>
    <row r="67" ht="14.25" customHeight="1">
      <c r="A67" s="1">
        <f t="shared" si="4"/>
        <v>9581</v>
      </c>
      <c r="B67" s="3">
        <v>0.01021</v>
      </c>
      <c r="D67" s="3">
        <f t="shared" si="1"/>
        <v>0.7853846154</v>
      </c>
    </row>
    <row r="68" ht="14.25" customHeight="1">
      <c r="A68" s="1">
        <f t="shared" si="4"/>
        <v>9632</v>
      </c>
      <c r="B68" s="3">
        <v>0.01129</v>
      </c>
      <c r="D68" s="3">
        <f t="shared" si="1"/>
        <v>0.8684615385</v>
      </c>
    </row>
    <row r="69" ht="14.25" customHeight="1">
      <c r="A69" s="1">
        <f t="shared" si="4"/>
        <v>9683</v>
      </c>
      <c r="B69" s="3">
        <v>0.01364</v>
      </c>
      <c r="D69" s="3">
        <f t="shared" si="1"/>
        <v>1.049230769</v>
      </c>
    </row>
    <row r="70" ht="14.25" customHeight="1">
      <c r="A70" s="1">
        <f t="shared" si="4"/>
        <v>9734</v>
      </c>
      <c r="B70" s="3">
        <v>0.01688</v>
      </c>
      <c r="D70" s="3">
        <f t="shared" si="1"/>
        <v>1.298461538</v>
      </c>
    </row>
    <row r="71" ht="14.25" customHeight="1">
      <c r="A71" s="1">
        <f t="shared" si="4"/>
        <v>9785</v>
      </c>
      <c r="B71" s="3">
        <v>0.01874</v>
      </c>
      <c r="D71" s="3">
        <f t="shared" si="1"/>
        <v>1.441538462</v>
      </c>
    </row>
    <row r="72" ht="14.25" customHeight="1">
      <c r="A72" s="1">
        <f t="shared" si="4"/>
        <v>9836</v>
      </c>
      <c r="B72" s="3">
        <v>0.01786</v>
      </c>
      <c r="D72" s="3">
        <f t="shared" si="1"/>
        <v>1.373846154</v>
      </c>
    </row>
    <row r="73" ht="14.25" customHeight="1">
      <c r="A73" s="1">
        <f t="shared" si="4"/>
        <v>9887</v>
      </c>
      <c r="B73" s="3">
        <v>0.01582</v>
      </c>
      <c r="D73" s="3">
        <f t="shared" si="1"/>
        <v>1.216923077</v>
      </c>
    </row>
    <row r="74" ht="14.25" customHeight="1">
      <c r="A74" s="1">
        <f t="shared" si="4"/>
        <v>9938</v>
      </c>
      <c r="B74" s="3">
        <v>0.0141</v>
      </c>
      <c r="D74" s="3">
        <f t="shared" si="1"/>
        <v>1.084615385</v>
      </c>
    </row>
    <row r="75" ht="14.25" customHeight="1">
      <c r="A75" s="1">
        <f t="shared" si="4"/>
        <v>9989</v>
      </c>
      <c r="B75" s="3">
        <v>0.01289</v>
      </c>
      <c r="D75" s="3">
        <f t="shared" si="1"/>
        <v>0.9915384615</v>
      </c>
    </row>
    <row r="76" ht="14.25" customHeight="1">
      <c r="A76" s="1">
        <f t="shared" si="4"/>
        <v>10040</v>
      </c>
      <c r="B76" s="3">
        <v>0.01205</v>
      </c>
      <c r="D76" s="3">
        <f t="shared" si="1"/>
        <v>0.9269230769</v>
      </c>
    </row>
    <row r="77" ht="14.25" customHeight="1">
      <c r="A77" s="1">
        <f t="shared" si="4"/>
        <v>10091</v>
      </c>
      <c r="B77" s="3">
        <v>0.01138</v>
      </c>
      <c r="D77" s="3">
        <f t="shared" si="1"/>
        <v>0.8753846154</v>
      </c>
    </row>
    <row r="78" ht="14.25" customHeight="1">
      <c r="A78" s="1">
        <f t="shared" si="4"/>
        <v>10142</v>
      </c>
      <c r="B78" s="3">
        <v>0.01077</v>
      </c>
      <c r="D78" s="3">
        <f t="shared" si="1"/>
        <v>0.8284615385</v>
      </c>
    </row>
    <row r="79" ht="14.25" customHeight="1">
      <c r="A79" s="1">
        <f t="shared" si="4"/>
        <v>10193</v>
      </c>
      <c r="B79" s="3">
        <v>0.01015</v>
      </c>
      <c r="D79" s="3">
        <f t="shared" si="1"/>
        <v>0.7807692308</v>
      </c>
    </row>
    <row r="80" ht="14.25" customHeight="1">
      <c r="A80" s="1">
        <f t="shared" si="4"/>
        <v>10244</v>
      </c>
      <c r="B80" s="3">
        <v>0.00953</v>
      </c>
      <c r="D80" s="3">
        <f t="shared" si="1"/>
        <v>0.7330769231</v>
      </c>
    </row>
    <row r="81" ht="14.25" customHeight="1">
      <c r="A81" s="1">
        <f t="shared" si="4"/>
        <v>10295</v>
      </c>
      <c r="B81" s="3">
        <v>0.0089</v>
      </c>
      <c r="D81" s="3">
        <f t="shared" si="1"/>
        <v>0.6846153846</v>
      </c>
    </row>
    <row r="82" ht="14.25" customHeight="1">
      <c r="A82" s="1">
        <f t="shared" si="4"/>
        <v>10346</v>
      </c>
      <c r="B82" s="3">
        <v>0.0082</v>
      </c>
      <c r="D82" s="3">
        <f t="shared" si="1"/>
        <v>0.6307692308</v>
      </c>
    </row>
    <row r="83" ht="14.25" customHeight="1">
      <c r="A83" s="1">
        <f t="shared" si="4"/>
        <v>10397</v>
      </c>
      <c r="B83" s="3">
        <v>0.00747</v>
      </c>
      <c r="D83" s="3">
        <f t="shared" si="1"/>
        <v>0.5746153846</v>
      </c>
    </row>
    <row r="84" ht="14.25" customHeight="1">
      <c r="A84" s="1">
        <f t="shared" si="4"/>
        <v>10448</v>
      </c>
      <c r="B84" s="3">
        <v>0.00677</v>
      </c>
      <c r="D84" s="3">
        <f t="shared" si="1"/>
        <v>0.5207692308</v>
      </c>
    </row>
    <row r="85" ht="14.25" customHeight="1">
      <c r="A85" s="1">
        <f t="shared" si="4"/>
        <v>10499</v>
      </c>
      <c r="B85" s="3">
        <v>0.00605</v>
      </c>
      <c r="D85" s="3">
        <f t="shared" si="1"/>
        <v>0.4653846154</v>
      </c>
    </row>
    <row r="86" ht="14.25" customHeight="1">
      <c r="A86" s="1">
        <f t="shared" si="4"/>
        <v>10550</v>
      </c>
      <c r="B86" s="3">
        <v>0.00553</v>
      </c>
      <c r="D86" s="3">
        <f t="shared" si="1"/>
        <v>0.4253846154</v>
      </c>
    </row>
    <row r="87" ht="14.25" customHeight="1">
      <c r="A87" s="1">
        <f t="shared" si="4"/>
        <v>10601</v>
      </c>
      <c r="B87" s="3">
        <v>0.00466</v>
      </c>
      <c r="D87" s="3">
        <f t="shared" si="1"/>
        <v>0.3584615385</v>
      </c>
    </row>
    <row r="88" ht="14.25" customHeight="1">
      <c r="A88" s="1">
        <f t="shared" si="4"/>
        <v>10652</v>
      </c>
      <c r="B88" s="3">
        <v>0.00404</v>
      </c>
      <c r="D88" s="3">
        <f t="shared" si="1"/>
        <v>0.3107692308</v>
      </c>
    </row>
    <row r="89" ht="14.25" customHeight="1">
      <c r="A89" s="1">
        <f t="shared" si="4"/>
        <v>10703</v>
      </c>
      <c r="B89" s="3">
        <v>0.00358</v>
      </c>
      <c r="D89" s="3">
        <f t="shared" si="1"/>
        <v>0.2753846154</v>
      </c>
    </row>
    <row r="90" ht="14.25" customHeight="1">
      <c r="A90" s="1">
        <f t="shared" si="4"/>
        <v>10754</v>
      </c>
      <c r="B90" s="3">
        <v>0.00317</v>
      </c>
      <c r="D90" s="3">
        <f t="shared" si="1"/>
        <v>0.2438461538</v>
      </c>
    </row>
    <row r="91" ht="14.25" customHeight="1">
      <c r="A91" s="1">
        <f t="shared" si="4"/>
        <v>10805</v>
      </c>
      <c r="B91" s="3">
        <v>0.00281</v>
      </c>
      <c r="D91" s="3">
        <f t="shared" si="1"/>
        <v>0.2161538462</v>
      </c>
    </row>
    <row r="92" ht="14.25" customHeight="1">
      <c r="A92" s="1">
        <f t="shared" si="4"/>
        <v>10856</v>
      </c>
      <c r="B92" s="3">
        <v>0.00249</v>
      </c>
      <c r="D92" s="3">
        <f t="shared" si="1"/>
        <v>0.1915384615</v>
      </c>
    </row>
    <row r="93" ht="14.25" customHeight="1">
      <c r="A93" s="1">
        <f t="shared" si="4"/>
        <v>10907</v>
      </c>
      <c r="B93" s="3">
        <v>0.00218</v>
      </c>
      <c r="D93" s="3">
        <f t="shared" si="1"/>
        <v>0.1676923077</v>
      </c>
    </row>
    <row r="94" ht="14.25" customHeight="1">
      <c r="A94" s="1">
        <f t="shared" si="4"/>
        <v>10958</v>
      </c>
      <c r="B94" s="3">
        <v>0.0019</v>
      </c>
      <c r="D94" s="3">
        <f t="shared" si="1"/>
        <v>0.1461538462</v>
      </c>
    </row>
    <row r="95" ht="14.25" customHeight="1">
      <c r="A95" s="1">
        <f t="shared" si="4"/>
        <v>11009</v>
      </c>
      <c r="B95" s="3">
        <v>0.00165</v>
      </c>
      <c r="D95" s="3">
        <f t="shared" si="1"/>
        <v>0.1269230769</v>
      </c>
    </row>
    <row r="96" ht="14.25" customHeight="1">
      <c r="A96" s="1">
        <f t="shared" si="4"/>
        <v>11060</v>
      </c>
      <c r="B96" s="3">
        <v>0.00145</v>
      </c>
      <c r="D96" s="3">
        <f t="shared" si="1"/>
        <v>0.1115384615</v>
      </c>
    </row>
    <row r="97" ht="14.25" customHeight="1">
      <c r="A97" s="1">
        <f t="shared" si="4"/>
        <v>11111</v>
      </c>
      <c r="B97" s="3">
        <v>0.00125</v>
      </c>
      <c r="D97" s="3">
        <f t="shared" si="1"/>
        <v>0.09615384615</v>
      </c>
    </row>
    <row r="98" ht="14.25" customHeight="1">
      <c r="A98" s="1">
        <f t="shared" si="4"/>
        <v>11162</v>
      </c>
      <c r="B98" s="3">
        <v>0.00107</v>
      </c>
      <c r="D98" s="3">
        <f t="shared" si="1"/>
        <v>0.08230769231</v>
      </c>
    </row>
    <row r="99" ht="14.25" customHeight="1">
      <c r="A99" s="1">
        <f t="shared" si="4"/>
        <v>11213</v>
      </c>
      <c r="B99" s="3">
        <v>9.0E-4</v>
      </c>
      <c r="D99" s="3">
        <f t="shared" si="1"/>
        <v>0.06923076923</v>
      </c>
    </row>
    <row r="100" ht="14.25" customHeight="1">
      <c r="A100" s="1">
        <f t="shared" si="4"/>
        <v>11264</v>
      </c>
      <c r="B100" s="3">
        <v>7.7E-4</v>
      </c>
      <c r="D100" s="3">
        <f t="shared" si="1"/>
        <v>0.05923076923</v>
      </c>
    </row>
    <row r="101" ht="14.25" customHeight="1">
      <c r="A101" s="1">
        <f t="shared" si="4"/>
        <v>11315</v>
      </c>
      <c r="B101" s="3">
        <v>6.3E-4</v>
      </c>
      <c r="D101" s="3">
        <f t="shared" si="1"/>
        <v>0.04846153846</v>
      </c>
    </row>
    <row r="102" ht="14.25" customHeight="1">
      <c r="A102" s="1">
        <f t="shared" si="4"/>
        <v>11366</v>
      </c>
      <c r="B102" s="3">
        <v>5.2E-4</v>
      </c>
      <c r="D102" s="3">
        <f t="shared" si="1"/>
        <v>0.04</v>
      </c>
    </row>
    <row r="103" ht="14.25" customHeight="1">
      <c r="A103" s="1">
        <f t="shared" si="4"/>
        <v>11417</v>
      </c>
      <c r="B103" s="3">
        <v>4.2E-4</v>
      </c>
      <c r="D103" s="3">
        <f t="shared" si="1"/>
        <v>0.03230769231</v>
      </c>
    </row>
    <row r="104" ht="14.25" customHeight="1">
      <c r="A104" s="1">
        <f t="shared" si="4"/>
        <v>11468</v>
      </c>
      <c r="B104" s="3">
        <v>3.4E-4</v>
      </c>
      <c r="D104" s="3">
        <f t="shared" si="1"/>
        <v>0.02615384615</v>
      </c>
    </row>
    <row r="105" ht="14.25" customHeight="1">
      <c r="A105" s="1">
        <f t="shared" si="4"/>
        <v>11519</v>
      </c>
      <c r="B105" s="3">
        <v>2.5E-4</v>
      </c>
      <c r="D105" s="3">
        <f t="shared" si="1"/>
        <v>0.01923076923</v>
      </c>
    </row>
    <row r="106" ht="14.25" customHeight="1">
      <c r="A106" s="1">
        <f t="shared" si="4"/>
        <v>11570</v>
      </c>
      <c r="B106" s="3">
        <v>1.8E-4</v>
      </c>
      <c r="D106" s="3">
        <f t="shared" si="1"/>
        <v>0.01384615385</v>
      </c>
    </row>
    <row r="107" ht="14.25" customHeight="1">
      <c r="A107" s="1">
        <f t="shared" si="4"/>
        <v>11621</v>
      </c>
      <c r="B107" s="3">
        <v>1.2E-4</v>
      </c>
      <c r="D107" s="3">
        <f t="shared" si="1"/>
        <v>0.009230769231</v>
      </c>
    </row>
    <row r="108" ht="14.25" customHeight="1">
      <c r="A108" s="1">
        <f t="shared" si="4"/>
        <v>11672</v>
      </c>
      <c r="B108" s="3">
        <v>7.0E-5</v>
      </c>
      <c r="D108" s="3">
        <f t="shared" si="1"/>
        <v>0.005384615385</v>
      </c>
    </row>
    <row r="109" ht="14.25" customHeight="1">
      <c r="A109" s="1">
        <f t="shared" si="4"/>
        <v>11723</v>
      </c>
      <c r="B109" s="3">
        <v>3.0E-5</v>
      </c>
      <c r="D109" s="3">
        <f t="shared" si="1"/>
        <v>0.002307692308</v>
      </c>
    </row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0"/>
    <col customWidth="1" min="5" max="5" width="8.71"/>
    <col customWidth="1" min="6" max="6" width="12.0"/>
    <col customWidth="1" min="7" max="26" width="8.71"/>
  </cols>
  <sheetData>
    <row r="1" ht="14.25" customHeight="1"/>
    <row r="2" ht="14.25" customHeight="1">
      <c r="A2" s="1" t="s">
        <v>5</v>
      </c>
      <c r="D2" s="1">
        <f>Foglio3!H3</f>
        <v>13</v>
      </c>
    </row>
    <row r="3" ht="14.25" customHeight="1">
      <c r="A3" s="2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ht="14.25" customHeight="1">
      <c r="A4" s="1">
        <v>3745.0</v>
      </c>
      <c r="B4" s="1">
        <v>3.7E-4</v>
      </c>
      <c r="C4" s="1">
        <f t="shared" ref="C4:C109" si="1">B4*0.001</f>
        <v>0.00000037</v>
      </c>
      <c r="D4" s="1">
        <f t="shared" ref="D4:D109" si="2">C4/$D$2</f>
        <v>0.00000002846153846</v>
      </c>
      <c r="E4" s="1">
        <v>1.0E-4</v>
      </c>
      <c r="F4" s="1">
        <f t="shared" ref="F4:F109" si="3">D4*0.001</f>
        <v>0</v>
      </c>
      <c r="G4" s="1">
        <f t="shared" ref="G4:G109" si="4">D4/(4*0.000001)</f>
        <v>0.007115384615</v>
      </c>
    </row>
    <row r="5" ht="14.25" customHeight="1">
      <c r="A5" s="1">
        <f t="shared" ref="A5:A24" si="5">A4+98</f>
        <v>3843</v>
      </c>
      <c r="B5" s="1">
        <v>0.0055</v>
      </c>
      <c r="C5" s="1">
        <f t="shared" si="1"/>
        <v>0.0000055</v>
      </c>
      <c r="D5" s="1">
        <f t="shared" si="2"/>
        <v>0.0000004230769231</v>
      </c>
      <c r="F5" s="1">
        <f t="shared" si="3"/>
        <v>0.0000000004230769231</v>
      </c>
      <c r="G5" s="1">
        <f t="shared" si="4"/>
        <v>0.1057692308</v>
      </c>
      <c r="Q5" s="3"/>
      <c r="R5" s="3"/>
    </row>
    <row r="6" ht="14.25" customHeight="1">
      <c r="A6" s="1">
        <f t="shared" si="5"/>
        <v>3941</v>
      </c>
      <c r="B6" s="1">
        <v>0.0075</v>
      </c>
      <c r="C6" s="1">
        <f t="shared" si="1"/>
        <v>0.0000075</v>
      </c>
      <c r="D6" s="1">
        <f t="shared" si="2"/>
        <v>0.0000005769230769</v>
      </c>
      <c r="F6" s="1">
        <f t="shared" si="3"/>
        <v>0.0000000005769230769</v>
      </c>
      <c r="G6" s="1">
        <f t="shared" si="4"/>
        <v>0.1442307692</v>
      </c>
      <c r="Q6" s="3"/>
      <c r="R6" s="3"/>
    </row>
    <row r="7" ht="14.25" customHeight="1">
      <c r="A7" s="1">
        <f t="shared" si="5"/>
        <v>4039</v>
      </c>
      <c r="B7" s="1">
        <v>0.01</v>
      </c>
      <c r="C7" s="1">
        <f t="shared" si="1"/>
        <v>0.00001</v>
      </c>
      <c r="D7" s="1">
        <f t="shared" si="2"/>
        <v>0.0000007692307692</v>
      </c>
      <c r="F7" s="1">
        <f t="shared" si="3"/>
        <v>0.0000000007692307692</v>
      </c>
      <c r="G7" s="1">
        <f t="shared" si="4"/>
        <v>0.1923076923</v>
      </c>
      <c r="Q7" s="3"/>
      <c r="R7" s="3"/>
    </row>
    <row r="8" ht="14.25" customHeight="1">
      <c r="A8" s="1">
        <f t="shared" si="5"/>
        <v>4137</v>
      </c>
      <c r="B8" s="1">
        <v>0.0125</v>
      </c>
      <c r="C8" s="1">
        <f t="shared" si="1"/>
        <v>0.0000125</v>
      </c>
      <c r="D8" s="1">
        <f t="shared" si="2"/>
        <v>0.0000009615384615</v>
      </c>
      <c r="F8" s="1">
        <f t="shared" si="3"/>
        <v>0.0000000009615384615</v>
      </c>
      <c r="G8" s="1">
        <f t="shared" si="4"/>
        <v>0.2403846154</v>
      </c>
      <c r="Q8" s="3"/>
      <c r="R8" s="3"/>
    </row>
    <row r="9" ht="14.25" customHeight="1">
      <c r="A9" s="1">
        <f t="shared" si="5"/>
        <v>4235</v>
      </c>
      <c r="B9" s="1">
        <v>0.018</v>
      </c>
      <c r="C9" s="1">
        <f t="shared" si="1"/>
        <v>0.000018</v>
      </c>
      <c r="D9" s="1">
        <f t="shared" si="2"/>
        <v>0.000001384615385</v>
      </c>
      <c r="F9" s="1">
        <f t="shared" si="3"/>
        <v>0.000000001384615385</v>
      </c>
      <c r="G9" s="1">
        <f t="shared" si="4"/>
        <v>0.3461538462</v>
      </c>
      <c r="Q9" s="3"/>
      <c r="R9" s="3"/>
    </row>
    <row r="10" ht="14.25" customHeight="1">
      <c r="A10" s="1">
        <f t="shared" si="5"/>
        <v>4333</v>
      </c>
      <c r="B10" s="1">
        <v>0.019</v>
      </c>
      <c r="C10" s="1">
        <f t="shared" si="1"/>
        <v>0.000019</v>
      </c>
      <c r="D10" s="1">
        <f t="shared" si="2"/>
        <v>0.000001461538462</v>
      </c>
      <c r="F10" s="1">
        <f t="shared" si="3"/>
        <v>0.000000001461538462</v>
      </c>
      <c r="G10" s="1">
        <f t="shared" si="4"/>
        <v>0.3653846154</v>
      </c>
      <c r="Q10" s="3"/>
      <c r="R10" s="3"/>
    </row>
    <row r="11" ht="14.25" customHeight="1">
      <c r="A11" s="1">
        <f t="shared" si="5"/>
        <v>4431</v>
      </c>
      <c r="B11" s="1">
        <v>0.0215</v>
      </c>
      <c r="C11" s="1">
        <f t="shared" si="1"/>
        <v>0.0000215</v>
      </c>
      <c r="D11" s="1">
        <f t="shared" si="2"/>
        <v>0.000001653846154</v>
      </c>
      <c r="F11" s="1">
        <f t="shared" si="3"/>
        <v>0.000000001653846154</v>
      </c>
      <c r="G11" s="1">
        <f t="shared" si="4"/>
        <v>0.4134615385</v>
      </c>
      <c r="Q11" s="3"/>
      <c r="R11" s="3"/>
    </row>
    <row r="12" ht="14.25" customHeight="1">
      <c r="A12" s="1">
        <f t="shared" si="5"/>
        <v>4529</v>
      </c>
      <c r="B12" s="1">
        <v>0.0225</v>
      </c>
      <c r="C12" s="1">
        <f t="shared" si="1"/>
        <v>0.0000225</v>
      </c>
      <c r="D12" s="1">
        <f t="shared" si="2"/>
        <v>0.000001730769231</v>
      </c>
      <c r="F12" s="1">
        <f t="shared" si="3"/>
        <v>0.000000001730769231</v>
      </c>
      <c r="G12" s="1">
        <f t="shared" si="4"/>
        <v>0.4326923077</v>
      </c>
      <c r="Q12" s="3"/>
      <c r="R12" s="3"/>
    </row>
    <row r="13" ht="14.25" customHeight="1">
      <c r="A13" s="1">
        <f t="shared" si="5"/>
        <v>4627</v>
      </c>
      <c r="B13" s="1">
        <v>0.0255</v>
      </c>
      <c r="C13" s="1">
        <f t="shared" si="1"/>
        <v>0.0000255</v>
      </c>
      <c r="D13" s="1">
        <f t="shared" si="2"/>
        <v>0.000001961538462</v>
      </c>
      <c r="F13" s="1">
        <f t="shared" si="3"/>
        <v>0.000000001961538462</v>
      </c>
      <c r="G13" s="1">
        <f t="shared" si="4"/>
        <v>0.4903846154</v>
      </c>
      <c r="Q13" s="3"/>
      <c r="R13" s="3"/>
    </row>
    <row r="14" ht="14.25" customHeight="1">
      <c r="A14" s="1">
        <f t="shared" si="5"/>
        <v>4725</v>
      </c>
      <c r="B14" s="1">
        <v>0.027</v>
      </c>
      <c r="C14" s="1">
        <f t="shared" si="1"/>
        <v>0.000027</v>
      </c>
      <c r="D14" s="1">
        <f t="shared" si="2"/>
        <v>0.000002076923077</v>
      </c>
      <c r="F14" s="1">
        <f t="shared" si="3"/>
        <v>0.000000002076923077</v>
      </c>
      <c r="G14" s="1">
        <f t="shared" si="4"/>
        <v>0.5192307692</v>
      </c>
      <c r="Q14" s="3"/>
      <c r="R14" s="3"/>
    </row>
    <row r="15" ht="14.25" customHeight="1">
      <c r="A15" s="1">
        <f t="shared" si="5"/>
        <v>4823</v>
      </c>
      <c r="B15" s="1">
        <v>0.0285</v>
      </c>
      <c r="C15" s="1">
        <f t="shared" si="1"/>
        <v>0.0000285</v>
      </c>
      <c r="D15" s="1">
        <f t="shared" si="2"/>
        <v>0.000002192307692</v>
      </c>
      <c r="F15" s="1">
        <f t="shared" si="3"/>
        <v>0.000000002192307692</v>
      </c>
      <c r="G15" s="1">
        <f t="shared" si="4"/>
        <v>0.5480769231</v>
      </c>
      <c r="Q15" s="3"/>
      <c r="R15" s="3"/>
    </row>
    <row r="16" ht="14.25" customHeight="1">
      <c r="A16" s="1">
        <f t="shared" si="5"/>
        <v>4921</v>
      </c>
      <c r="B16" s="1">
        <v>0.0315</v>
      </c>
      <c r="C16" s="1">
        <f t="shared" si="1"/>
        <v>0.0000315</v>
      </c>
      <c r="D16" s="1">
        <f t="shared" si="2"/>
        <v>0.000002423076923</v>
      </c>
      <c r="F16" s="1">
        <f t="shared" si="3"/>
        <v>0.000000002423076923</v>
      </c>
      <c r="G16" s="1">
        <f t="shared" si="4"/>
        <v>0.6057692308</v>
      </c>
      <c r="Q16" s="3"/>
      <c r="R16" s="3"/>
    </row>
    <row r="17" ht="14.25" customHeight="1">
      <c r="A17" s="1">
        <f t="shared" si="5"/>
        <v>5019</v>
      </c>
      <c r="B17" s="1">
        <v>0.033</v>
      </c>
      <c r="C17" s="1">
        <f t="shared" si="1"/>
        <v>0.000033</v>
      </c>
      <c r="D17" s="1">
        <f t="shared" si="2"/>
        <v>0.000002538461538</v>
      </c>
      <c r="F17" s="1">
        <f t="shared" si="3"/>
        <v>0.000000002538461538</v>
      </c>
      <c r="G17" s="1">
        <f t="shared" si="4"/>
        <v>0.6346153846</v>
      </c>
      <c r="Q17" s="3"/>
      <c r="R17" s="3"/>
    </row>
    <row r="18" ht="14.25" customHeight="1">
      <c r="A18" s="1">
        <f t="shared" si="5"/>
        <v>5117</v>
      </c>
      <c r="B18" s="1">
        <v>0.036</v>
      </c>
      <c r="C18" s="1">
        <f t="shared" si="1"/>
        <v>0.000036</v>
      </c>
      <c r="D18" s="1">
        <f t="shared" si="2"/>
        <v>0.000002769230769</v>
      </c>
      <c r="F18" s="1">
        <f t="shared" si="3"/>
        <v>0.000000002769230769</v>
      </c>
      <c r="G18" s="1">
        <f t="shared" si="4"/>
        <v>0.6923076923</v>
      </c>
      <c r="Q18" s="3"/>
      <c r="R18" s="3"/>
    </row>
    <row r="19" ht="14.25" customHeight="1">
      <c r="A19" s="1">
        <f t="shared" si="5"/>
        <v>5215</v>
      </c>
      <c r="B19" s="1">
        <v>0.038</v>
      </c>
      <c r="C19" s="1">
        <f t="shared" si="1"/>
        <v>0.000038</v>
      </c>
      <c r="D19" s="1">
        <f t="shared" si="2"/>
        <v>0.000002923076923</v>
      </c>
      <c r="F19" s="1">
        <f t="shared" si="3"/>
        <v>0.000000002923076923</v>
      </c>
      <c r="G19" s="1">
        <f t="shared" si="4"/>
        <v>0.7307692308</v>
      </c>
      <c r="Q19" s="3"/>
      <c r="R19" s="3"/>
    </row>
    <row r="20" ht="14.25" customHeight="1">
      <c r="A20" s="1">
        <f t="shared" si="5"/>
        <v>5313</v>
      </c>
      <c r="B20" s="1">
        <v>0.0395</v>
      </c>
      <c r="C20" s="1">
        <f t="shared" si="1"/>
        <v>0.0000395</v>
      </c>
      <c r="D20" s="1">
        <f t="shared" si="2"/>
        <v>0.000003038461538</v>
      </c>
      <c r="F20" s="1">
        <f t="shared" si="3"/>
        <v>0.000000003038461538</v>
      </c>
      <c r="G20" s="1">
        <f t="shared" si="4"/>
        <v>0.7596153846</v>
      </c>
      <c r="Q20" s="3"/>
      <c r="R20" s="3"/>
    </row>
    <row r="21" ht="14.25" customHeight="1">
      <c r="A21" s="1">
        <f t="shared" si="5"/>
        <v>5411</v>
      </c>
      <c r="B21" s="1">
        <v>0.0415</v>
      </c>
      <c r="C21" s="1">
        <f t="shared" si="1"/>
        <v>0.0000415</v>
      </c>
      <c r="D21" s="1">
        <f t="shared" si="2"/>
        <v>0.000003192307692</v>
      </c>
      <c r="F21" s="1">
        <f t="shared" si="3"/>
        <v>0.000000003192307692</v>
      </c>
      <c r="G21" s="1">
        <f t="shared" si="4"/>
        <v>0.7980769231</v>
      </c>
      <c r="Q21" s="3"/>
      <c r="R21" s="3"/>
    </row>
    <row r="22" ht="14.25" customHeight="1">
      <c r="A22" s="1">
        <f t="shared" si="5"/>
        <v>5509</v>
      </c>
      <c r="B22" s="1">
        <v>0.046</v>
      </c>
      <c r="C22" s="1">
        <f t="shared" si="1"/>
        <v>0.000046</v>
      </c>
      <c r="D22" s="1">
        <f t="shared" si="2"/>
        <v>0.000003538461538</v>
      </c>
      <c r="F22" s="1">
        <f t="shared" si="3"/>
        <v>0.000000003538461538</v>
      </c>
      <c r="G22" s="1">
        <f t="shared" si="4"/>
        <v>0.8846153846</v>
      </c>
      <c r="Q22" s="3"/>
      <c r="R22" s="3"/>
    </row>
    <row r="23" ht="14.25" customHeight="1">
      <c r="A23" s="1">
        <f t="shared" si="5"/>
        <v>5607</v>
      </c>
      <c r="B23" s="1">
        <v>0.05</v>
      </c>
      <c r="C23" s="1">
        <f t="shared" si="1"/>
        <v>0.00005</v>
      </c>
      <c r="D23" s="1">
        <f t="shared" si="2"/>
        <v>0.000003846153846</v>
      </c>
      <c r="F23" s="1">
        <f t="shared" si="3"/>
        <v>0.000000003846153846</v>
      </c>
      <c r="G23" s="1">
        <f t="shared" si="4"/>
        <v>0.9615384615</v>
      </c>
      <c r="Q23" s="3"/>
      <c r="R23" s="3"/>
    </row>
    <row r="24" ht="14.25" customHeight="1">
      <c r="A24" s="1">
        <f t="shared" si="5"/>
        <v>5705</v>
      </c>
      <c r="B24" s="1">
        <v>0.052</v>
      </c>
      <c r="C24" s="1">
        <f t="shared" si="1"/>
        <v>0.000052</v>
      </c>
      <c r="D24" s="1">
        <f t="shared" si="2"/>
        <v>0.000004</v>
      </c>
      <c r="F24" s="1">
        <f t="shared" si="3"/>
        <v>0.000000004</v>
      </c>
      <c r="G24" s="1">
        <f t="shared" si="4"/>
        <v>1</v>
      </c>
      <c r="Q24" s="3"/>
      <c r="R24" s="3"/>
    </row>
    <row r="25" ht="14.25" customHeight="1">
      <c r="A25" s="1">
        <f t="shared" ref="A25:A57" si="6">A24+102</f>
        <v>5807</v>
      </c>
      <c r="B25" s="1">
        <v>0.054</v>
      </c>
      <c r="C25" s="1">
        <f t="shared" si="1"/>
        <v>0.000054</v>
      </c>
      <c r="D25" s="1">
        <f t="shared" si="2"/>
        <v>0.000004153846154</v>
      </c>
      <c r="F25" s="1">
        <f t="shared" si="3"/>
        <v>0.000000004153846154</v>
      </c>
      <c r="G25" s="1">
        <f t="shared" si="4"/>
        <v>1.038461538</v>
      </c>
      <c r="Q25" s="3"/>
      <c r="R25" s="3"/>
    </row>
    <row r="26" ht="14.25" customHeight="1">
      <c r="A26" s="1">
        <f t="shared" si="6"/>
        <v>5909</v>
      </c>
      <c r="B26" s="1">
        <v>0.061</v>
      </c>
      <c r="C26" s="1">
        <f t="shared" si="1"/>
        <v>0.000061</v>
      </c>
      <c r="D26" s="1">
        <f t="shared" si="2"/>
        <v>0.000004692307692</v>
      </c>
      <c r="F26" s="1">
        <f t="shared" si="3"/>
        <v>0.000000004692307692</v>
      </c>
      <c r="G26" s="1">
        <f t="shared" si="4"/>
        <v>1.173076923</v>
      </c>
      <c r="Q26" s="3"/>
      <c r="R26" s="3"/>
    </row>
    <row r="27" ht="14.25" customHeight="1">
      <c r="A27" s="1">
        <f t="shared" si="6"/>
        <v>6011</v>
      </c>
      <c r="B27" s="1">
        <v>0.062</v>
      </c>
      <c r="C27" s="1">
        <f t="shared" si="1"/>
        <v>0.000062</v>
      </c>
      <c r="D27" s="1">
        <f t="shared" si="2"/>
        <v>0.000004769230769</v>
      </c>
      <c r="F27" s="1">
        <f t="shared" si="3"/>
        <v>0.000000004769230769</v>
      </c>
      <c r="G27" s="1">
        <f t="shared" si="4"/>
        <v>1.192307692</v>
      </c>
      <c r="Q27" s="3"/>
      <c r="R27" s="3"/>
    </row>
    <row r="28" ht="14.25" customHeight="1">
      <c r="A28" s="1">
        <f t="shared" si="6"/>
        <v>6113</v>
      </c>
      <c r="B28" s="1">
        <v>0.06</v>
      </c>
      <c r="C28" s="1">
        <f t="shared" si="1"/>
        <v>0.00006</v>
      </c>
      <c r="D28" s="1">
        <f t="shared" si="2"/>
        <v>0.000004615384615</v>
      </c>
      <c r="F28" s="1">
        <f t="shared" si="3"/>
        <v>0.000000004615384615</v>
      </c>
      <c r="G28" s="1">
        <f t="shared" si="4"/>
        <v>1.153846154</v>
      </c>
      <c r="Q28" s="3"/>
      <c r="R28" s="3"/>
    </row>
    <row r="29" ht="14.25" customHeight="1">
      <c r="A29" s="1">
        <f t="shared" si="6"/>
        <v>6215</v>
      </c>
      <c r="B29" s="1">
        <v>0.06</v>
      </c>
      <c r="C29" s="1">
        <f t="shared" si="1"/>
        <v>0.00006</v>
      </c>
      <c r="D29" s="1">
        <f t="shared" si="2"/>
        <v>0.000004615384615</v>
      </c>
      <c r="F29" s="1">
        <f t="shared" si="3"/>
        <v>0.000000004615384615</v>
      </c>
      <c r="G29" s="1">
        <f t="shared" si="4"/>
        <v>1.153846154</v>
      </c>
      <c r="Q29" s="3"/>
      <c r="R29" s="3"/>
    </row>
    <row r="30" ht="14.25" customHeight="1">
      <c r="A30" s="1">
        <f t="shared" si="6"/>
        <v>6317</v>
      </c>
      <c r="B30" s="1">
        <v>0.059</v>
      </c>
      <c r="C30" s="1">
        <f t="shared" si="1"/>
        <v>0.000059</v>
      </c>
      <c r="D30" s="1">
        <f t="shared" si="2"/>
        <v>0.000004538461538</v>
      </c>
      <c r="F30" s="1">
        <f t="shared" si="3"/>
        <v>0.000000004538461538</v>
      </c>
      <c r="G30" s="1">
        <f t="shared" si="4"/>
        <v>1.134615385</v>
      </c>
      <c r="Q30" s="3"/>
      <c r="R30" s="3"/>
    </row>
    <row r="31" ht="14.25" customHeight="1">
      <c r="A31" s="1">
        <f t="shared" si="6"/>
        <v>6419</v>
      </c>
      <c r="B31" s="1">
        <v>0.058</v>
      </c>
      <c r="C31" s="1">
        <f t="shared" si="1"/>
        <v>0.000058</v>
      </c>
      <c r="D31" s="1">
        <f t="shared" si="2"/>
        <v>0.000004461538462</v>
      </c>
      <c r="F31" s="1">
        <f t="shared" si="3"/>
        <v>0.000000004461538462</v>
      </c>
      <c r="G31" s="1">
        <f t="shared" si="4"/>
        <v>1.115384615</v>
      </c>
      <c r="Q31" s="3"/>
      <c r="R31" s="3"/>
    </row>
    <row r="32" ht="14.25" customHeight="1">
      <c r="A32" s="1">
        <f t="shared" si="6"/>
        <v>6521</v>
      </c>
      <c r="B32" s="1">
        <v>0.06</v>
      </c>
      <c r="C32" s="1">
        <f t="shared" si="1"/>
        <v>0.00006</v>
      </c>
      <c r="D32" s="1">
        <f t="shared" si="2"/>
        <v>0.000004615384615</v>
      </c>
      <c r="F32" s="1">
        <f t="shared" si="3"/>
        <v>0.000000004615384615</v>
      </c>
      <c r="G32" s="1">
        <f t="shared" si="4"/>
        <v>1.153846154</v>
      </c>
      <c r="Q32" s="3"/>
      <c r="R32" s="3"/>
    </row>
    <row r="33" ht="14.25" customHeight="1">
      <c r="A33" s="1">
        <f t="shared" si="6"/>
        <v>6623</v>
      </c>
      <c r="B33" s="1">
        <v>0.061</v>
      </c>
      <c r="C33" s="1">
        <f t="shared" si="1"/>
        <v>0.000061</v>
      </c>
      <c r="D33" s="1">
        <f t="shared" si="2"/>
        <v>0.000004692307692</v>
      </c>
      <c r="F33" s="1">
        <f t="shared" si="3"/>
        <v>0.000000004692307692</v>
      </c>
      <c r="G33" s="1">
        <f t="shared" si="4"/>
        <v>1.173076923</v>
      </c>
      <c r="Q33" s="3"/>
      <c r="R33" s="3"/>
    </row>
    <row r="34" ht="14.25" customHeight="1">
      <c r="A34" s="1">
        <f t="shared" si="6"/>
        <v>6725</v>
      </c>
      <c r="B34" s="1">
        <v>0.059</v>
      </c>
      <c r="C34" s="1">
        <f t="shared" si="1"/>
        <v>0.000059</v>
      </c>
      <c r="D34" s="1">
        <f t="shared" si="2"/>
        <v>0.000004538461538</v>
      </c>
      <c r="F34" s="1">
        <f t="shared" si="3"/>
        <v>0.000000004538461538</v>
      </c>
      <c r="G34" s="1">
        <f t="shared" si="4"/>
        <v>1.134615385</v>
      </c>
      <c r="Q34" s="3"/>
      <c r="R34" s="3"/>
    </row>
    <row r="35" ht="14.25" customHeight="1">
      <c r="A35" s="1">
        <f t="shared" si="6"/>
        <v>6827</v>
      </c>
      <c r="B35" s="1">
        <v>0.06</v>
      </c>
      <c r="C35" s="1">
        <f t="shared" si="1"/>
        <v>0.00006</v>
      </c>
      <c r="D35" s="1">
        <f t="shared" si="2"/>
        <v>0.000004615384615</v>
      </c>
      <c r="F35" s="1">
        <f t="shared" si="3"/>
        <v>0.000000004615384615</v>
      </c>
      <c r="G35" s="1">
        <f t="shared" si="4"/>
        <v>1.153846154</v>
      </c>
      <c r="Q35" s="3"/>
      <c r="R35" s="3"/>
    </row>
    <row r="36" ht="14.25" customHeight="1">
      <c r="A36" s="1">
        <f t="shared" si="6"/>
        <v>6929</v>
      </c>
      <c r="B36" s="1">
        <v>0.06</v>
      </c>
      <c r="C36" s="1">
        <f t="shared" si="1"/>
        <v>0.00006</v>
      </c>
      <c r="D36" s="1">
        <f t="shared" si="2"/>
        <v>0.000004615384615</v>
      </c>
      <c r="F36" s="1">
        <f t="shared" si="3"/>
        <v>0.000000004615384615</v>
      </c>
      <c r="G36" s="1">
        <f t="shared" si="4"/>
        <v>1.153846154</v>
      </c>
      <c r="Q36" s="3"/>
      <c r="R36" s="3"/>
    </row>
    <row r="37" ht="14.25" customHeight="1">
      <c r="A37" s="1">
        <f t="shared" si="6"/>
        <v>7031</v>
      </c>
      <c r="B37" s="1">
        <v>0.06</v>
      </c>
      <c r="C37" s="1">
        <f t="shared" si="1"/>
        <v>0.00006</v>
      </c>
      <c r="D37" s="1">
        <f t="shared" si="2"/>
        <v>0.000004615384615</v>
      </c>
      <c r="F37" s="1">
        <f t="shared" si="3"/>
        <v>0.000000004615384615</v>
      </c>
      <c r="G37" s="1">
        <f t="shared" si="4"/>
        <v>1.153846154</v>
      </c>
      <c r="Q37" s="3"/>
      <c r="R37" s="3"/>
    </row>
    <row r="38" ht="14.25" customHeight="1">
      <c r="A38" s="1">
        <f t="shared" si="6"/>
        <v>7133</v>
      </c>
      <c r="B38" s="1">
        <v>0.06</v>
      </c>
      <c r="C38" s="1">
        <f t="shared" si="1"/>
        <v>0.00006</v>
      </c>
      <c r="D38" s="1">
        <f t="shared" si="2"/>
        <v>0.000004615384615</v>
      </c>
      <c r="F38" s="1">
        <f t="shared" si="3"/>
        <v>0.000000004615384615</v>
      </c>
      <c r="G38" s="1">
        <f t="shared" si="4"/>
        <v>1.153846154</v>
      </c>
      <c r="Q38" s="3"/>
      <c r="R38" s="3"/>
    </row>
    <row r="39" ht="14.25" customHeight="1">
      <c r="A39" s="1">
        <f t="shared" si="6"/>
        <v>7235</v>
      </c>
      <c r="B39" s="1">
        <v>0.059</v>
      </c>
      <c r="C39" s="1">
        <f t="shared" si="1"/>
        <v>0.000059</v>
      </c>
      <c r="D39" s="1">
        <f t="shared" si="2"/>
        <v>0.000004538461538</v>
      </c>
      <c r="F39" s="1">
        <f t="shared" si="3"/>
        <v>0.000000004538461538</v>
      </c>
      <c r="G39" s="1">
        <f t="shared" si="4"/>
        <v>1.134615385</v>
      </c>
      <c r="Q39" s="3"/>
      <c r="R39" s="3"/>
    </row>
    <row r="40" ht="14.25" customHeight="1">
      <c r="A40" s="1">
        <f t="shared" si="6"/>
        <v>7337</v>
      </c>
      <c r="B40" s="1">
        <v>0.057</v>
      </c>
      <c r="C40" s="1">
        <f t="shared" si="1"/>
        <v>0.000057</v>
      </c>
      <c r="D40" s="1">
        <f t="shared" si="2"/>
        <v>0.000004384615385</v>
      </c>
      <c r="F40" s="1">
        <f t="shared" si="3"/>
        <v>0.000000004384615385</v>
      </c>
      <c r="G40" s="1">
        <f t="shared" si="4"/>
        <v>1.096153846</v>
      </c>
      <c r="Q40" s="3"/>
      <c r="R40" s="3"/>
    </row>
    <row r="41" ht="14.25" customHeight="1">
      <c r="A41" s="1">
        <f t="shared" si="6"/>
        <v>7439</v>
      </c>
      <c r="B41" s="1">
        <v>0.055</v>
      </c>
      <c r="C41" s="1">
        <f t="shared" si="1"/>
        <v>0.000055</v>
      </c>
      <c r="D41" s="1">
        <f t="shared" si="2"/>
        <v>0.000004230769231</v>
      </c>
      <c r="F41" s="1">
        <f t="shared" si="3"/>
        <v>0.000000004230769231</v>
      </c>
      <c r="G41" s="1">
        <f t="shared" si="4"/>
        <v>1.057692308</v>
      </c>
      <c r="Q41" s="3"/>
      <c r="R41" s="3"/>
    </row>
    <row r="42" ht="14.25" customHeight="1">
      <c r="A42" s="1">
        <f t="shared" si="6"/>
        <v>7541</v>
      </c>
      <c r="B42" s="1">
        <v>0.054</v>
      </c>
      <c r="C42" s="1">
        <f t="shared" si="1"/>
        <v>0.000054</v>
      </c>
      <c r="D42" s="1">
        <f t="shared" si="2"/>
        <v>0.000004153846154</v>
      </c>
      <c r="F42" s="1">
        <f t="shared" si="3"/>
        <v>0.000000004153846154</v>
      </c>
      <c r="G42" s="1">
        <f t="shared" si="4"/>
        <v>1.038461538</v>
      </c>
      <c r="Q42" s="3"/>
      <c r="R42" s="3"/>
    </row>
    <row r="43" ht="14.25" customHeight="1">
      <c r="A43" s="1">
        <f t="shared" si="6"/>
        <v>7643</v>
      </c>
      <c r="B43" s="1">
        <v>0.055</v>
      </c>
      <c r="C43" s="1">
        <f t="shared" si="1"/>
        <v>0.000055</v>
      </c>
      <c r="D43" s="1">
        <f t="shared" si="2"/>
        <v>0.000004230769231</v>
      </c>
      <c r="F43" s="1">
        <f t="shared" si="3"/>
        <v>0.000000004230769231</v>
      </c>
      <c r="G43" s="1">
        <f t="shared" si="4"/>
        <v>1.057692308</v>
      </c>
      <c r="Q43" s="3"/>
      <c r="R43" s="3"/>
    </row>
    <row r="44" ht="14.25" customHeight="1">
      <c r="A44" s="1">
        <f t="shared" si="6"/>
        <v>7745</v>
      </c>
      <c r="B44" s="1">
        <v>0.061</v>
      </c>
      <c r="C44" s="1">
        <f t="shared" si="1"/>
        <v>0.000061</v>
      </c>
      <c r="D44" s="1">
        <f t="shared" si="2"/>
        <v>0.000004692307692</v>
      </c>
      <c r="F44" s="1">
        <f t="shared" si="3"/>
        <v>0.000000004692307692</v>
      </c>
      <c r="G44" s="1">
        <f t="shared" si="4"/>
        <v>1.173076923</v>
      </c>
      <c r="Q44" s="3"/>
      <c r="R44" s="3"/>
    </row>
    <row r="45" ht="14.25" customHeight="1">
      <c r="A45" s="1">
        <f t="shared" si="6"/>
        <v>7847</v>
      </c>
      <c r="B45" s="1">
        <v>0.055</v>
      </c>
      <c r="C45" s="1">
        <f t="shared" si="1"/>
        <v>0.000055</v>
      </c>
      <c r="D45" s="1">
        <f t="shared" si="2"/>
        <v>0.000004230769231</v>
      </c>
      <c r="F45" s="1">
        <f t="shared" si="3"/>
        <v>0.000000004230769231</v>
      </c>
      <c r="G45" s="1">
        <f t="shared" si="4"/>
        <v>1.057692308</v>
      </c>
      <c r="Q45" s="3"/>
      <c r="R45" s="3"/>
    </row>
    <row r="46" ht="14.25" customHeight="1">
      <c r="A46" s="1">
        <f t="shared" si="6"/>
        <v>7949</v>
      </c>
      <c r="B46" s="1">
        <v>0.05</v>
      </c>
      <c r="C46" s="1">
        <f t="shared" si="1"/>
        <v>0.00005</v>
      </c>
      <c r="D46" s="1">
        <f t="shared" si="2"/>
        <v>0.000003846153846</v>
      </c>
      <c r="F46" s="1">
        <f t="shared" si="3"/>
        <v>0.000000003846153846</v>
      </c>
      <c r="G46" s="1">
        <f t="shared" si="4"/>
        <v>0.9615384615</v>
      </c>
      <c r="Q46" s="3"/>
      <c r="R46" s="3"/>
    </row>
    <row r="47" ht="14.25" customHeight="1">
      <c r="A47" s="1">
        <f t="shared" si="6"/>
        <v>8051</v>
      </c>
      <c r="B47" s="1">
        <v>0.0465</v>
      </c>
      <c r="C47" s="1">
        <f t="shared" si="1"/>
        <v>0.0000465</v>
      </c>
      <c r="D47" s="1">
        <f t="shared" si="2"/>
        <v>0.000003576923077</v>
      </c>
      <c r="F47" s="1">
        <f t="shared" si="3"/>
        <v>0.000000003576923077</v>
      </c>
      <c r="G47" s="1">
        <f t="shared" si="4"/>
        <v>0.8942307692</v>
      </c>
      <c r="Q47" s="3"/>
      <c r="R47" s="3"/>
    </row>
    <row r="48" ht="14.25" customHeight="1">
      <c r="A48" s="1">
        <f t="shared" si="6"/>
        <v>8153</v>
      </c>
      <c r="B48" s="1">
        <v>0.045</v>
      </c>
      <c r="C48" s="1">
        <f t="shared" si="1"/>
        <v>0.000045</v>
      </c>
      <c r="D48" s="1">
        <f t="shared" si="2"/>
        <v>0.000003461538462</v>
      </c>
      <c r="F48" s="1">
        <f t="shared" si="3"/>
        <v>0.000000003461538462</v>
      </c>
      <c r="G48" s="1">
        <f t="shared" si="4"/>
        <v>0.8653846154</v>
      </c>
      <c r="Q48" s="3"/>
      <c r="R48" s="3"/>
    </row>
    <row r="49" ht="14.25" customHeight="1">
      <c r="A49" s="1">
        <f t="shared" si="6"/>
        <v>8255</v>
      </c>
      <c r="B49" s="1">
        <v>0.044</v>
      </c>
      <c r="C49" s="1">
        <f t="shared" si="1"/>
        <v>0.000044</v>
      </c>
      <c r="D49" s="1">
        <f t="shared" si="2"/>
        <v>0.000003384615385</v>
      </c>
      <c r="F49" s="1">
        <f t="shared" si="3"/>
        <v>0.000000003384615385</v>
      </c>
      <c r="G49" s="1">
        <f t="shared" si="4"/>
        <v>0.8461538462</v>
      </c>
      <c r="Q49" s="3"/>
      <c r="R49" s="3"/>
    </row>
    <row r="50" ht="14.25" customHeight="1">
      <c r="A50" s="1">
        <f t="shared" si="6"/>
        <v>8357</v>
      </c>
      <c r="B50" s="1">
        <v>0.042</v>
      </c>
      <c r="C50" s="1">
        <f t="shared" si="1"/>
        <v>0.000042</v>
      </c>
      <c r="D50" s="1">
        <f t="shared" si="2"/>
        <v>0.000003230769231</v>
      </c>
      <c r="F50" s="1">
        <f t="shared" si="3"/>
        <v>0.000000003230769231</v>
      </c>
      <c r="G50" s="1">
        <f t="shared" si="4"/>
        <v>0.8076923077</v>
      </c>
      <c r="Q50" s="3"/>
      <c r="R50" s="3"/>
    </row>
    <row r="51" ht="14.25" customHeight="1">
      <c r="A51" s="1">
        <f t="shared" si="6"/>
        <v>8459</v>
      </c>
      <c r="B51" s="1">
        <v>0.045</v>
      </c>
      <c r="C51" s="1">
        <f t="shared" si="1"/>
        <v>0.000045</v>
      </c>
      <c r="D51" s="1">
        <f t="shared" si="2"/>
        <v>0.000003461538462</v>
      </c>
      <c r="F51" s="1">
        <f t="shared" si="3"/>
        <v>0.000000003461538462</v>
      </c>
      <c r="G51" s="1">
        <f t="shared" si="4"/>
        <v>0.8653846154</v>
      </c>
      <c r="Q51" s="3"/>
      <c r="R51" s="3"/>
    </row>
    <row r="52" ht="14.25" customHeight="1">
      <c r="A52" s="1">
        <f t="shared" si="6"/>
        <v>8561</v>
      </c>
      <c r="B52" s="1">
        <v>0.046</v>
      </c>
      <c r="C52" s="1">
        <f t="shared" si="1"/>
        <v>0.000046</v>
      </c>
      <c r="D52" s="1">
        <f t="shared" si="2"/>
        <v>0.000003538461538</v>
      </c>
      <c r="F52" s="1">
        <f t="shared" si="3"/>
        <v>0.000000003538461538</v>
      </c>
      <c r="G52" s="1">
        <f t="shared" si="4"/>
        <v>0.8846153846</v>
      </c>
      <c r="Q52" s="3"/>
      <c r="R52" s="3"/>
    </row>
    <row r="53" ht="14.25" customHeight="1">
      <c r="A53" s="1">
        <f t="shared" si="6"/>
        <v>8663</v>
      </c>
      <c r="B53" s="1">
        <v>0.048</v>
      </c>
      <c r="C53" s="1">
        <f t="shared" si="1"/>
        <v>0.000048</v>
      </c>
      <c r="D53" s="1">
        <f t="shared" si="2"/>
        <v>0.000003692307692</v>
      </c>
      <c r="F53" s="1">
        <f t="shared" si="3"/>
        <v>0.000000003692307692</v>
      </c>
      <c r="G53" s="1">
        <f t="shared" si="4"/>
        <v>0.9230769231</v>
      </c>
      <c r="Q53" s="3"/>
      <c r="R53" s="3"/>
    </row>
    <row r="54" ht="14.25" customHeight="1">
      <c r="A54" s="1">
        <f t="shared" si="6"/>
        <v>8765</v>
      </c>
      <c r="B54" s="1">
        <v>0.051</v>
      </c>
      <c r="C54" s="1">
        <f t="shared" si="1"/>
        <v>0.000051</v>
      </c>
      <c r="D54" s="1">
        <f t="shared" si="2"/>
        <v>0.000003923076923</v>
      </c>
      <c r="F54" s="1">
        <f t="shared" si="3"/>
        <v>0.000000003923076923</v>
      </c>
      <c r="G54" s="1">
        <f t="shared" si="4"/>
        <v>0.9807692308</v>
      </c>
      <c r="Q54" s="3"/>
      <c r="R54" s="3"/>
    </row>
    <row r="55" ht="14.25" customHeight="1">
      <c r="A55" s="1">
        <f t="shared" si="6"/>
        <v>8867</v>
      </c>
      <c r="B55" s="1">
        <v>0.055</v>
      </c>
      <c r="C55" s="1">
        <f t="shared" si="1"/>
        <v>0.000055</v>
      </c>
      <c r="D55" s="1">
        <f t="shared" si="2"/>
        <v>0.000004230769231</v>
      </c>
      <c r="F55" s="1">
        <f t="shared" si="3"/>
        <v>0.000000004230769231</v>
      </c>
      <c r="G55" s="1">
        <f t="shared" si="4"/>
        <v>1.057692308</v>
      </c>
      <c r="Q55" s="3"/>
      <c r="R55" s="3"/>
    </row>
    <row r="56" ht="14.25" customHeight="1">
      <c r="A56" s="1">
        <f t="shared" si="6"/>
        <v>8969</v>
      </c>
      <c r="B56" s="1">
        <v>0.06</v>
      </c>
      <c r="C56" s="1">
        <f t="shared" si="1"/>
        <v>0.00006</v>
      </c>
      <c r="D56" s="1">
        <f t="shared" si="2"/>
        <v>0.000004615384615</v>
      </c>
      <c r="F56" s="1">
        <f t="shared" si="3"/>
        <v>0.000000004615384615</v>
      </c>
      <c r="G56" s="1">
        <f t="shared" si="4"/>
        <v>1.153846154</v>
      </c>
      <c r="Q56" s="3"/>
      <c r="R56" s="3"/>
    </row>
    <row r="57" ht="14.25" customHeight="1">
      <c r="A57" s="1">
        <f t="shared" si="6"/>
        <v>9071</v>
      </c>
      <c r="B57" s="1">
        <v>0.0625</v>
      </c>
      <c r="C57" s="1">
        <f t="shared" si="1"/>
        <v>0.0000625</v>
      </c>
      <c r="D57" s="1">
        <f t="shared" si="2"/>
        <v>0.000004807692308</v>
      </c>
      <c r="F57" s="1">
        <f t="shared" si="3"/>
        <v>0.000000004807692308</v>
      </c>
      <c r="G57" s="1">
        <f t="shared" si="4"/>
        <v>1.201923077</v>
      </c>
      <c r="Q57" s="3"/>
      <c r="R57" s="3"/>
    </row>
    <row r="58" ht="14.25" customHeight="1">
      <c r="A58" s="1">
        <f t="shared" ref="A58:A109" si="7">A57+51</f>
        <v>9122</v>
      </c>
      <c r="B58" s="1">
        <v>0.064</v>
      </c>
      <c r="C58" s="1">
        <f t="shared" si="1"/>
        <v>0.000064</v>
      </c>
      <c r="D58" s="1">
        <f t="shared" si="2"/>
        <v>0.000004923076923</v>
      </c>
      <c r="F58" s="1">
        <f t="shared" si="3"/>
        <v>0.000000004923076923</v>
      </c>
      <c r="G58" s="1">
        <f t="shared" si="4"/>
        <v>1.230769231</v>
      </c>
      <c r="Q58" s="3"/>
      <c r="R58" s="3"/>
    </row>
    <row r="59" ht="14.25" customHeight="1">
      <c r="A59" s="1">
        <f t="shared" si="7"/>
        <v>9173</v>
      </c>
      <c r="B59" s="1">
        <v>0.065</v>
      </c>
      <c r="C59" s="1">
        <f t="shared" si="1"/>
        <v>0.000065</v>
      </c>
      <c r="D59" s="1">
        <f t="shared" si="2"/>
        <v>0.000005</v>
      </c>
      <c r="F59" s="1">
        <f t="shared" si="3"/>
        <v>0.000000005</v>
      </c>
      <c r="G59" s="1">
        <f t="shared" si="4"/>
        <v>1.25</v>
      </c>
      <c r="Q59" s="3"/>
      <c r="R59" s="3"/>
    </row>
    <row r="60" ht="14.25" customHeight="1">
      <c r="A60" s="1">
        <f t="shared" si="7"/>
        <v>9224</v>
      </c>
      <c r="B60" s="1">
        <v>0.069</v>
      </c>
      <c r="C60" s="1">
        <f t="shared" si="1"/>
        <v>0.000069</v>
      </c>
      <c r="D60" s="1">
        <f t="shared" si="2"/>
        <v>0.000005307692308</v>
      </c>
      <c r="F60" s="1">
        <f t="shared" si="3"/>
        <v>0.000000005307692308</v>
      </c>
      <c r="G60" s="1">
        <f t="shared" si="4"/>
        <v>1.326923077</v>
      </c>
      <c r="Q60" s="3"/>
      <c r="R60" s="3"/>
    </row>
    <row r="61" ht="14.25" customHeight="1">
      <c r="A61" s="1">
        <f t="shared" si="7"/>
        <v>9275</v>
      </c>
      <c r="B61" s="1">
        <v>0.068</v>
      </c>
      <c r="C61" s="1">
        <f t="shared" si="1"/>
        <v>0.000068</v>
      </c>
      <c r="D61" s="1">
        <f t="shared" si="2"/>
        <v>0.000005230769231</v>
      </c>
      <c r="F61" s="1">
        <f t="shared" si="3"/>
        <v>0.000000005230769231</v>
      </c>
      <c r="G61" s="1">
        <f t="shared" si="4"/>
        <v>1.307692308</v>
      </c>
      <c r="Q61" s="3"/>
      <c r="R61" s="3"/>
    </row>
    <row r="62" ht="14.25" customHeight="1">
      <c r="A62" s="1">
        <f t="shared" si="7"/>
        <v>9326</v>
      </c>
      <c r="B62" s="1">
        <v>0.07</v>
      </c>
      <c r="C62" s="1">
        <f t="shared" si="1"/>
        <v>0.00007</v>
      </c>
      <c r="D62" s="1">
        <f t="shared" si="2"/>
        <v>0.000005384615385</v>
      </c>
      <c r="F62" s="1">
        <f t="shared" si="3"/>
        <v>0.000000005384615385</v>
      </c>
      <c r="G62" s="1">
        <f t="shared" si="4"/>
        <v>1.346153846</v>
      </c>
      <c r="Q62" s="3"/>
      <c r="R62" s="3"/>
    </row>
    <row r="63" ht="14.25" customHeight="1">
      <c r="A63" s="1">
        <f t="shared" si="7"/>
        <v>9377</v>
      </c>
      <c r="B63" s="1">
        <v>0.071</v>
      </c>
      <c r="C63" s="1">
        <f t="shared" si="1"/>
        <v>0.000071</v>
      </c>
      <c r="D63" s="1">
        <f t="shared" si="2"/>
        <v>0.000005461538462</v>
      </c>
      <c r="F63" s="1">
        <f t="shared" si="3"/>
        <v>0.000000005461538462</v>
      </c>
      <c r="G63" s="1">
        <f t="shared" si="4"/>
        <v>1.365384615</v>
      </c>
      <c r="Q63" s="3"/>
      <c r="R63" s="3"/>
    </row>
    <row r="64" ht="14.25" customHeight="1">
      <c r="A64" s="1">
        <f t="shared" si="7"/>
        <v>9428</v>
      </c>
      <c r="B64" s="1">
        <v>0.07</v>
      </c>
      <c r="C64" s="1">
        <f t="shared" si="1"/>
        <v>0.00007</v>
      </c>
      <c r="D64" s="1">
        <f t="shared" si="2"/>
        <v>0.000005384615385</v>
      </c>
      <c r="F64" s="1">
        <f t="shared" si="3"/>
        <v>0.000000005384615385</v>
      </c>
      <c r="G64" s="1">
        <f t="shared" si="4"/>
        <v>1.346153846</v>
      </c>
      <c r="Q64" s="3"/>
      <c r="R64" s="3"/>
    </row>
    <row r="65" ht="14.25" customHeight="1">
      <c r="A65" s="1">
        <f t="shared" si="7"/>
        <v>9479</v>
      </c>
      <c r="B65" s="1">
        <v>0.072</v>
      </c>
      <c r="C65" s="1">
        <f t="shared" si="1"/>
        <v>0.000072</v>
      </c>
      <c r="D65" s="1">
        <f t="shared" si="2"/>
        <v>0.000005538461538</v>
      </c>
      <c r="F65" s="1">
        <f t="shared" si="3"/>
        <v>0.000000005538461538</v>
      </c>
      <c r="G65" s="1">
        <f t="shared" si="4"/>
        <v>1.384615385</v>
      </c>
      <c r="Q65" s="3"/>
      <c r="R65" s="3"/>
    </row>
    <row r="66" ht="14.25" customHeight="1">
      <c r="A66" s="1">
        <f t="shared" si="7"/>
        <v>9530</v>
      </c>
      <c r="B66" s="1">
        <v>0.073</v>
      </c>
      <c r="C66" s="1">
        <f t="shared" si="1"/>
        <v>0.000073</v>
      </c>
      <c r="D66" s="1">
        <f t="shared" si="2"/>
        <v>0.000005615384615</v>
      </c>
      <c r="F66" s="1">
        <f t="shared" si="3"/>
        <v>0.000000005615384615</v>
      </c>
      <c r="G66" s="1">
        <f t="shared" si="4"/>
        <v>1.403846154</v>
      </c>
      <c r="Q66" s="3"/>
      <c r="R66" s="3"/>
    </row>
    <row r="67" ht="14.25" customHeight="1">
      <c r="A67" s="1">
        <f t="shared" si="7"/>
        <v>9581</v>
      </c>
      <c r="B67" s="1">
        <v>0.0735</v>
      </c>
      <c r="C67" s="1">
        <f t="shared" si="1"/>
        <v>0.0000735</v>
      </c>
      <c r="D67" s="1">
        <f t="shared" si="2"/>
        <v>0.000005653846154</v>
      </c>
      <c r="F67" s="1">
        <f t="shared" si="3"/>
        <v>0.000000005653846154</v>
      </c>
      <c r="G67" s="1">
        <f t="shared" si="4"/>
        <v>1.413461538</v>
      </c>
      <c r="Q67" s="3"/>
      <c r="R67" s="3"/>
    </row>
    <row r="68" ht="14.25" customHeight="1">
      <c r="A68" s="1">
        <f t="shared" si="7"/>
        <v>9632</v>
      </c>
      <c r="B68" s="1">
        <v>0.081</v>
      </c>
      <c r="C68" s="1">
        <f t="shared" si="1"/>
        <v>0.000081</v>
      </c>
      <c r="D68" s="1">
        <f t="shared" si="2"/>
        <v>0.000006230769231</v>
      </c>
      <c r="F68" s="1">
        <f t="shared" si="3"/>
        <v>0.000000006230769231</v>
      </c>
      <c r="G68" s="1">
        <f t="shared" si="4"/>
        <v>1.557692308</v>
      </c>
      <c r="Q68" s="3"/>
      <c r="R68" s="3"/>
    </row>
    <row r="69" ht="14.25" customHeight="1">
      <c r="A69" s="1">
        <f t="shared" si="7"/>
        <v>9683</v>
      </c>
      <c r="B69" s="1">
        <v>0.098</v>
      </c>
      <c r="C69" s="1">
        <f t="shared" si="1"/>
        <v>0.000098</v>
      </c>
      <c r="D69" s="1">
        <f t="shared" si="2"/>
        <v>0.000007538461538</v>
      </c>
      <c r="F69" s="1">
        <f t="shared" si="3"/>
        <v>0.000000007538461538</v>
      </c>
      <c r="G69" s="1">
        <f t="shared" si="4"/>
        <v>1.884615385</v>
      </c>
      <c r="Q69" s="3"/>
      <c r="R69" s="3"/>
    </row>
    <row r="70" ht="14.25" customHeight="1">
      <c r="A70" s="1">
        <f t="shared" si="7"/>
        <v>9734</v>
      </c>
      <c r="B70" s="1">
        <v>0.121</v>
      </c>
      <c r="C70" s="1">
        <f t="shared" si="1"/>
        <v>0.000121</v>
      </c>
      <c r="D70" s="1">
        <f t="shared" si="2"/>
        <v>0.000009307692308</v>
      </c>
      <c r="F70" s="1">
        <f t="shared" si="3"/>
        <v>0.000000009307692308</v>
      </c>
      <c r="G70" s="1">
        <f t="shared" si="4"/>
        <v>2.326923077</v>
      </c>
      <c r="Q70" s="3"/>
      <c r="R70" s="3"/>
    </row>
    <row r="71" ht="14.25" customHeight="1">
      <c r="A71" s="1">
        <f t="shared" si="7"/>
        <v>9785</v>
      </c>
      <c r="B71" s="1">
        <v>0.134</v>
      </c>
      <c r="C71" s="1">
        <f t="shared" si="1"/>
        <v>0.000134</v>
      </c>
      <c r="D71" s="1">
        <f t="shared" si="2"/>
        <v>0.00001030769231</v>
      </c>
      <c r="F71" s="1">
        <f t="shared" si="3"/>
        <v>0.00000001030769231</v>
      </c>
      <c r="G71" s="1">
        <f t="shared" si="4"/>
        <v>2.576923077</v>
      </c>
      <c r="Q71" s="3"/>
      <c r="R71" s="3"/>
    </row>
    <row r="72" ht="14.25" customHeight="1">
      <c r="A72" s="1">
        <f t="shared" si="7"/>
        <v>9836</v>
      </c>
      <c r="B72" s="1">
        <v>0.127</v>
      </c>
      <c r="C72" s="1">
        <f t="shared" si="1"/>
        <v>0.000127</v>
      </c>
      <c r="D72" s="1">
        <f t="shared" si="2"/>
        <v>0.000009769230769</v>
      </c>
      <c r="F72" s="1">
        <f t="shared" si="3"/>
        <v>0.000000009769230769</v>
      </c>
      <c r="G72" s="1">
        <f t="shared" si="4"/>
        <v>2.442307692</v>
      </c>
      <c r="Q72" s="3"/>
      <c r="R72" s="3"/>
    </row>
    <row r="73" ht="14.25" customHeight="1">
      <c r="A73" s="1">
        <f t="shared" si="7"/>
        <v>9887</v>
      </c>
      <c r="B73" s="1">
        <v>0.113</v>
      </c>
      <c r="C73" s="1">
        <f t="shared" si="1"/>
        <v>0.000113</v>
      </c>
      <c r="D73" s="1">
        <f t="shared" si="2"/>
        <v>0.000008692307692</v>
      </c>
      <c r="F73" s="1">
        <f t="shared" si="3"/>
        <v>0.000000008692307692</v>
      </c>
      <c r="G73" s="1">
        <f t="shared" si="4"/>
        <v>2.173076923</v>
      </c>
      <c r="Q73" s="3"/>
      <c r="R73" s="3"/>
    </row>
    <row r="74" ht="14.25" customHeight="1">
      <c r="A74" s="1">
        <f t="shared" si="7"/>
        <v>9938</v>
      </c>
      <c r="B74" s="1">
        <v>0.103</v>
      </c>
      <c r="C74" s="1">
        <f t="shared" si="1"/>
        <v>0.000103</v>
      </c>
      <c r="D74" s="1">
        <f t="shared" si="2"/>
        <v>0.000007923076923</v>
      </c>
      <c r="F74" s="1">
        <f t="shared" si="3"/>
        <v>0.000000007923076923</v>
      </c>
      <c r="G74" s="1">
        <f t="shared" si="4"/>
        <v>1.980769231</v>
      </c>
      <c r="Q74" s="3"/>
      <c r="R74" s="3"/>
    </row>
    <row r="75" ht="14.25" customHeight="1">
      <c r="A75" s="1">
        <f t="shared" si="7"/>
        <v>9989</v>
      </c>
      <c r="B75" s="1">
        <v>0.096</v>
      </c>
      <c r="C75" s="1">
        <f t="shared" si="1"/>
        <v>0.000096</v>
      </c>
      <c r="D75" s="1">
        <f t="shared" si="2"/>
        <v>0.000007384615385</v>
      </c>
      <c r="F75" s="1">
        <f t="shared" si="3"/>
        <v>0.000000007384615385</v>
      </c>
      <c r="G75" s="1">
        <f t="shared" si="4"/>
        <v>1.846153846</v>
      </c>
      <c r="Q75" s="3"/>
      <c r="R75" s="3"/>
    </row>
    <row r="76" ht="14.25" customHeight="1">
      <c r="A76" s="1">
        <f t="shared" si="7"/>
        <v>10040</v>
      </c>
      <c r="B76" s="1">
        <v>0.092</v>
      </c>
      <c r="C76" s="1">
        <f t="shared" si="1"/>
        <v>0.000092</v>
      </c>
      <c r="D76" s="1">
        <f t="shared" si="2"/>
        <v>0.000007076923077</v>
      </c>
      <c r="F76" s="1">
        <f t="shared" si="3"/>
        <v>0.000000007076923077</v>
      </c>
      <c r="G76" s="1">
        <f t="shared" si="4"/>
        <v>1.769230769</v>
      </c>
      <c r="Q76" s="3"/>
      <c r="R76" s="3"/>
    </row>
    <row r="77" ht="14.25" customHeight="1">
      <c r="A77" s="1">
        <f t="shared" si="7"/>
        <v>10091</v>
      </c>
      <c r="B77" s="1">
        <v>0.088</v>
      </c>
      <c r="C77" s="1">
        <f t="shared" si="1"/>
        <v>0.000088</v>
      </c>
      <c r="D77" s="1">
        <f t="shared" si="2"/>
        <v>0.000006769230769</v>
      </c>
      <c r="F77" s="1">
        <f t="shared" si="3"/>
        <v>0.000000006769230769</v>
      </c>
      <c r="G77" s="1">
        <f t="shared" si="4"/>
        <v>1.692307692</v>
      </c>
      <c r="Q77" s="3"/>
      <c r="R77" s="3"/>
    </row>
    <row r="78" ht="14.25" customHeight="1">
      <c r="A78" s="1">
        <f t="shared" si="7"/>
        <v>10142</v>
      </c>
      <c r="B78" s="1">
        <v>0.086</v>
      </c>
      <c r="C78" s="1">
        <f t="shared" si="1"/>
        <v>0.000086</v>
      </c>
      <c r="D78" s="1">
        <f t="shared" si="2"/>
        <v>0.000006615384615</v>
      </c>
      <c r="F78" s="1">
        <f t="shared" si="3"/>
        <v>0.000000006615384615</v>
      </c>
      <c r="G78" s="1">
        <f t="shared" si="4"/>
        <v>1.653846154</v>
      </c>
      <c r="Q78" s="3"/>
      <c r="R78" s="3"/>
    </row>
    <row r="79" ht="14.25" customHeight="1">
      <c r="A79" s="1">
        <f t="shared" si="7"/>
        <v>10193</v>
      </c>
      <c r="B79" s="1">
        <v>0.085</v>
      </c>
      <c r="C79" s="1">
        <f t="shared" si="1"/>
        <v>0.000085</v>
      </c>
      <c r="D79" s="1">
        <f t="shared" si="2"/>
        <v>0.000006538461538</v>
      </c>
      <c r="F79" s="1">
        <f t="shared" si="3"/>
        <v>0.000000006538461538</v>
      </c>
      <c r="G79" s="1">
        <f t="shared" si="4"/>
        <v>1.634615385</v>
      </c>
      <c r="Q79" s="3"/>
      <c r="R79" s="3"/>
    </row>
    <row r="80" ht="14.25" customHeight="1">
      <c r="A80" s="1">
        <f t="shared" si="7"/>
        <v>10244</v>
      </c>
      <c r="B80" s="1">
        <v>0.084</v>
      </c>
      <c r="C80" s="1">
        <f t="shared" si="1"/>
        <v>0.000084</v>
      </c>
      <c r="D80" s="1">
        <f t="shared" si="2"/>
        <v>0.000006461538462</v>
      </c>
      <c r="F80" s="1">
        <f t="shared" si="3"/>
        <v>0.000000006461538462</v>
      </c>
      <c r="G80" s="1">
        <f t="shared" si="4"/>
        <v>1.615384615</v>
      </c>
      <c r="Q80" s="3"/>
      <c r="R80" s="3"/>
    </row>
    <row r="81" ht="14.25" customHeight="1">
      <c r="A81" s="1">
        <f t="shared" si="7"/>
        <v>10295</v>
      </c>
      <c r="B81" s="1">
        <v>0.083</v>
      </c>
      <c r="C81" s="1">
        <f t="shared" si="1"/>
        <v>0.000083</v>
      </c>
      <c r="D81" s="1">
        <f t="shared" si="2"/>
        <v>0.000006384615385</v>
      </c>
      <c r="F81" s="1">
        <f t="shared" si="3"/>
        <v>0.000000006384615385</v>
      </c>
      <c r="G81" s="1">
        <f t="shared" si="4"/>
        <v>1.596153846</v>
      </c>
      <c r="Q81" s="3"/>
      <c r="R81" s="3"/>
    </row>
    <row r="82" ht="14.25" customHeight="1">
      <c r="A82" s="1">
        <f t="shared" si="7"/>
        <v>10346</v>
      </c>
      <c r="B82" s="1">
        <v>0.082</v>
      </c>
      <c r="C82" s="1">
        <f t="shared" si="1"/>
        <v>0.000082</v>
      </c>
      <c r="D82" s="1">
        <f t="shared" si="2"/>
        <v>0.000006307692308</v>
      </c>
      <c r="F82" s="1">
        <f t="shared" si="3"/>
        <v>0.000000006307692308</v>
      </c>
      <c r="G82" s="1">
        <f t="shared" si="4"/>
        <v>1.576923077</v>
      </c>
      <c r="Q82" s="3"/>
      <c r="R82" s="3"/>
    </row>
    <row r="83" ht="14.25" customHeight="1">
      <c r="A83" s="1">
        <f t="shared" si="7"/>
        <v>10397</v>
      </c>
      <c r="B83" s="1">
        <v>0.0815</v>
      </c>
      <c r="C83" s="1">
        <f t="shared" si="1"/>
        <v>0.0000815</v>
      </c>
      <c r="D83" s="1">
        <f t="shared" si="2"/>
        <v>0.000006269230769</v>
      </c>
      <c r="F83" s="1">
        <f t="shared" si="3"/>
        <v>0.000000006269230769</v>
      </c>
      <c r="G83" s="1">
        <f t="shared" si="4"/>
        <v>1.567307692</v>
      </c>
      <c r="Q83" s="3"/>
      <c r="R83" s="3"/>
    </row>
    <row r="84" ht="14.25" customHeight="1">
      <c r="A84" s="1">
        <f t="shared" si="7"/>
        <v>10448</v>
      </c>
      <c r="B84" s="1">
        <v>0.081</v>
      </c>
      <c r="C84" s="1">
        <f t="shared" si="1"/>
        <v>0.000081</v>
      </c>
      <c r="D84" s="1">
        <f t="shared" si="2"/>
        <v>0.000006230769231</v>
      </c>
      <c r="F84" s="1">
        <f t="shared" si="3"/>
        <v>0.000000006230769231</v>
      </c>
      <c r="G84" s="1">
        <f t="shared" si="4"/>
        <v>1.557692308</v>
      </c>
      <c r="Q84" s="3"/>
      <c r="R84" s="3"/>
    </row>
    <row r="85" ht="14.25" customHeight="1">
      <c r="A85" s="1">
        <f t="shared" si="7"/>
        <v>10499</v>
      </c>
      <c r="B85" s="1">
        <v>0.08</v>
      </c>
      <c r="C85" s="1">
        <f t="shared" si="1"/>
        <v>0.00008</v>
      </c>
      <c r="D85" s="1">
        <f t="shared" si="2"/>
        <v>0.000006153846154</v>
      </c>
      <c r="F85" s="1">
        <f t="shared" si="3"/>
        <v>0.000000006153846154</v>
      </c>
      <c r="G85" s="1">
        <f t="shared" si="4"/>
        <v>1.538461538</v>
      </c>
      <c r="Q85" s="3"/>
      <c r="R85" s="3"/>
    </row>
    <row r="86" ht="14.25" customHeight="1">
      <c r="A86" s="1">
        <f t="shared" si="7"/>
        <v>10550</v>
      </c>
      <c r="B86" s="1">
        <v>0.081</v>
      </c>
      <c r="C86" s="1">
        <f t="shared" si="1"/>
        <v>0.000081</v>
      </c>
      <c r="D86" s="1">
        <f t="shared" si="2"/>
        <v>0.000006230769231</v>
      </c>
      <c r="F86" s="1">
        <f t="shared" si="3"/>
        <v>0.000000006230769231</v>
      </c>
      <c r="G86" s="1">
        <f t="shared" si="4"/>
        <v>1.557692308</v>
      </c>
      <c r="Q86" s="3"/>
      <c r="R86" s="3"/>
    </row>
    <row r="87" ht="14.25" customHeight="1">
      <c r="A87" s="1">
        <f t="shared" si="7"/>
        <v>10601</v>
      </c>
      <c r="B87" s="1">
        <v>0.079</v>
      </c>
      <c r="C87" s="1">
        <f t="shared" si="1"/>
        <v>0.000079</v>
      </c>
      <c r="D87" s="1">
        <f t="shared" si="2"/>
        <v>0.000006076923077</v>
      </c>
      <c r="F87" s="1">
        <f t="shared" si="3"/>
        <v>0.000000006076923077</v>
      </c>
      <c r="G87" s="1">
        <f t="shared" si="4"/>
        <v>1.519230769</v>
      </c>
      <c r="Q87" s="3"/>
      <c r="R87" s="3"/>
    </row>
    <row r="88" ht="14.25" customHeight="1">
      <c r="A88" s="1">
        <f t="shared" si="7"/>
        <v>10652</v>
      </c>
      <c r="B88" s="1">
        <v>0.0775</v>
      </c>
      <c r="C88" s="1">
        <f t="shared" si="1"/>
        <v>0.0000775</v>
      </c>
      <c r="D88" s="1">
        <f t="shared" si="2"/>
        <v>0.000005961538462</v>
      </c>
      <c r="F88" s="1">
        <f t="shared" si="3"/>
        <v>0.000000005961538462</v>
      </c>
      <c r="G88" s="1">
        <f t="shared" si="4"/>
        <v>1.490384615</v>
      </c>
      <c r="Q88" s="3"/>
      <c r="R88" s="3"/>
    </row>
    <row r="89" ht="14.25" customHeight="1">
      <c r="A89" s="1">
        <f t="shared" si="7"/>
        <v>10703</v>
      </c>
      <c r="B89" s="1">
        <v>0.078</v>
      </c>
      <c r="C89" s="1">
        <f t="shared" si="1"/>
        <v>0.000078</v>
      </c>
      <c r="D89" s="1">
        <f t="shared" si="2"/>
        <v>0.000006</v>
      </c>
      <c r="F89" s="1">
        <f t="shared" si="3"/>
        <v>0.000000006</v>
      </c>
      <c r="G89" s="1">
        <f t="shared" si="4"/>
        <v>1.5</v>
      </c>
      <c r="Q89" s="3"/>
      <c r="R89" s="3"/>
    </row>
    <row r="90" ht="14.25" customHeight="1">
      <c r="A90" s="1">
        <f t="shared" si="7"/>
        <v>10754</v>
      </c>
      <c r="B90" s="1">
        <v>0.075</v>
      </c>
      <c r="C90" s="1">
        <f t="shared" si="1"/>
        <v>0.000075</v>
      </c>
      <c r="D90" s="1">
        <f t="shared" si="2"/>
        <v>0.000005769230769</v>
      </c>
      <c r="F90" s="1">
        <f t="shared" si="3"/>
        <v>0.000000005769230769</v>
      </c>
      <c r="G90" s="1">
        <f t="shared" si="4"/>
        <v>1.442307692</v>
      </c>
      <c r="Q90" s="3"/>
      <c r="R90" s="3"/>
    </row>
    <row r="91" ht="14.25" customHeight="1">
      <c r="A91" s="1">
        <f t="shared" si="7"/>
        <v>10805</v>
      </c>
      <c r="B91" s="1">
        <v>0.077</v>
      </c>
      <c r="C91" s="1">
        <f t="shared" si="1"/>
        <v>0.000077</v>
      </c>
      <c r="D91" s="1">
        <f t="shared" si="2"/>
        <v>0.000005923076923</v>
      </c>
      <c r="F91" s="1">
        <f t="shared" si="3"/>
        <v>0.000000005923076923</v>
      </c>
      <c r="G91" s="1">
        <f t="shared" si="4"/>
        <v>1.480769231</v>
      </c>
      <c r="Q91" s="3"/>
      <c r="R91" s="3"/>
    </row>
    <row r="92" ht="14.25" customHeight="1">
      <c r="A92" s="1">
        <f t="shared" si="7"/>
        <v>10856</v>
      </c>
      <c r="B92" s="1">
        <v>0.0765</v>
      </c>
      <c r="C92" s="1">
        <f t="shared" si="1"/>
        <v>0.0000765</v>
      </c>
      <c r="D92" s="1">
        <f t="shared" si="2"/>
        <v>0.000005884615385</v>
      </c>
      <c r="F92" s="1">
        <f t="shared" si="3"/>
        <v>0.000000005884615385</v>
      </c>
      <c r="G92" s="1">
        <f t="shared" si="4"/>
        <v>1.471153846</v>
      </c>
      <c r="Q92" s="3"/>
      <c r="R92" s="3"/>
    </row>
    <row r="93" ht="14.25" customHeight="1">
      <c r="A93" s="1">
        <f t="shared" si="7"/>
        <v>10907</v>
      </c>
      <c r="B93" s="1">
        <v>0.076</v>
      </c>
      <c r="C93" s="1">
        <f t="shared" si="1"/>
        <v>0.000076</v>
      </c>
      <c r="D93" s="1">
        <f t="shared" si="2"/>
        <v>0.000005846153846</v>
      </c>
      <c r="F93" s="1">
        <f t="shared" si="3"/>
        <v>0.000000005846153846</v>
      </c>
      <c r="G93" s="1">
        <f t="shared" si="4"/>
        <v>1.461538462</v>
      </c>
      <c r="Q93" s="3"/>
      <c r="R93" s="3"/>
    </row>
    <row r="94" ht="14.25" customHeight="1">
      <c r="A94" s="1">
        <f t="shared" si="7"/>
        <v>10958</v>
      </c>
      <c r="B94" s="1">
        <v>0.0755</v>
      </c>
      <c r="C94" s="1">
        <f t="shared" si="1"/>
        <v>0.0000755</v>
      </c>
      <c r="D94" s="1">
        <f t="shared" si="2"/>
        <v>0.000005807692308</v>
      </c>
      <c r="F94" s="1">
        <f t="shared" si="3"/>
        <v>0.000000005807692308</v>
      </c>
      <c r="G94" s="1">
        <f t="shared" si="4"/>
        <v>1.451923077</v>
      </c>
      <c r="Q94" s="3"/>
      <c r="R94" s="3"/>
    </row>
    <row r="95" ht="14.25" customHeight="1">
      <c r="A95" s="1">
        <f t="shared" si="7"/>
        <v>11009</v>
      </c>
      <c r="B95" s="1">
        <v>0.075</v>
      </c>
      <c r="C95" s="1">
        <f t="shared" si="1"/>
        <v>0.000075</v>
      </c>
      <c r="D95" s="1">
        <f t="shared" si="2"/>
        <v>0.000005769230769</v>
      </c>
      <c r="F95" s="1">
        <f t="shared" si="3"/>
        <v>0.000000005769230769</v>
      </c>
      <c r="G95" s="1">
        <f t="shared" si="4"/>
        <v>1.442307692</v>
      </c>
      <c r="Q95" s="3"/>
      <c r="R95" s="3"/>
    </row>
    <row r="96" ht="14.25" customHeight="1">
      <c r="A96" s="1">
        <f t="shared" si="7"/>
        <v>11060</v>
      </c>
      <c r="B96" s="1">
        <v>0.0745</v>
      </c>
      <c r="C96" s="1">
        <f t="shared" si="1"/>
        <v>0.0000745</v>
      </c>
      <c r="D96" s="1">
        <f t="shared" si="2"/>
        <v>0.000005730769231</v>
      </c>
      <c r="F96" s="1">
        <f t="shared" si="3"/>
        <v>0.000000005730769231</v>
      </c>
      <c r="G96" s="1">
        <f t="shared" si="4"/>
        <v>1.432692308</v>
      </c>
      <c r="Q96" s="3"/>
      <c r="R96" s="3"/>
    </row>
    <row r="97" ht="14.25" customHeight="1">
      <c r="A97" s="1">
        <f t="shared" si="7"/>
        <v>11111</v>
      </c>
      <c r="B97" s="1">
        <v>0.074</v>
      </c>
      <c r="C97" s="1">
        <f t="shared" si="1"/>
        <v>0.000074</v>
      </c>
      <c r="D97" s="1">
        <f t="shared" si="2"/>
        <v>0.000005692307692</v>
      </c>
      <c r="F97" s="1">
        <f t="shared" si="3"/>
        <v>0.000000005692307692</v>
      </c>
      <c r="G97" s="1">
        <f t="shared" si="4"/>
        <v>1.423076923</v>
      </c>
      <c r="Q97" s="3"/>
      <c r="R97" s="3"/>
    </row>
    <row r="98" ht="14.25" customHeight="1">
      <c r="A98" s="1">
        <f t="shared" si="7"/>
        <v>11162</v>
      </c>
      <c r="B98" s="1">
        <v>0.075</v>
      </c>
      <c r="C98" s="1">
        <f t="shared" si="1"/>
        <v>0.000075</v>
      </c>
      <c r="D98" s="1">
        <f t="shared" si="2"/>
        <v>0.000005769230769</v>
      </c>
      <c r="F98" s="1">
        <f t="shared" si="3"/>
        <v>0.000000005769230769</v>
      </c>
      <c r="G98" s="1">
        <f t="shared" si="4"/>
        <v>1.442307692</v>
      </c>
      <c r="Q98" s="3"/>
      <c r="R98" s="3"/>
    </row>
    <row r="99" ht="14.25" customHeight="1">
      <c r="A99" s="1">
        <f t="shared" si="7"/>
        <v>11213</v>
      </c>
      <c r="B99" s="1">
        <v>0.073</v>
      </c>
      <c r="C99" s="1">
        <f t="shared" si="1"/>
        <v>0.000073</v>
      </c>
      <c r="D99" s="1">
        <f t="shared" si="2"/>
        <v>0.000005615384615</v>
      </c>
      <c r="F99" s="1">
        <f t="shared" si="3"/>
        <v>0.000000005615384615</v>
      </c>
      <c r="G99" s="1">
        <f t="shared" si="4"/>
        <v>1.403846154</v>
      </c>
      <c r="Q99" s="3"/>
      <c r="R99" s="3"/>
    </row>
    <row r="100" ht="14.25" customHeight="1">
      <c r="A100" s="1">
        <f t="shared" si="7"/>
        <v>11264</v>
      </c>
      <c r="B100" s="1">
        <v>0.072</v>
      </c>
      <c r="C100" s="1">
        <f t="shared" si="1"/>
        <v>0.000072</v>
      </c>
      <c r="D100" s="1">
        <f t="shared" si="2"/>
        <v>0.000005538461538</v>
      </c>
      <c r="F100" s="1">
        <f t="shared" si="3"/>
        <v>0.000000005538461538</v>
      </c>
      <c r="G100" s="1">
        <f t="shared" si="4"/>
        <v>1.384615385</v>
      </c>
      <c r="Q100" s="3"/>
      <c r="R100" s="3"/>
    </row>
    <row r="101" ht="14.25" customHeight="1">
      <c r="A101" s="1">
        <f t="shared" si="7"/>
        <v>11315</v>
      </c>
      <c r="B101" s="1">
        <v>0.0715</v>
      </c>
      <c r="C101" s="1">
        <f t="shared" si="1"/>
        <v>0.0000715</v>
      </c>
      <c r="D101" s="1">
        <f t="shared" si="2"/>
        <v>0.0000055</v>
      </c>
      <c r="F101" s="1">
        <f t="shared" si="3"/>
        <v>0.0000000055</v>
      </c>
      <c r="G101" s="1">
        <f t="shared" si="4"/>
        <v>1.375</v>
      </c>
      <c r="Q101" s="3"/>
      <c r="R101" s="3"/>
    </row>
    <row r="102" ht="14.25" customHeight="1">
      <c r="A102" s="1">
        <f t="shared" si="7"/>
        <v>11366</v>
      </c>
      <c r="B102" s="1">
        <v>0.0715</v>
      </c>
      <c r="C102" s="1">
        <f t="shared" si="1"/>
        <v>0.0000715</v>
      </c>
      <c r="D102" s="1">
        <f t="shared" si="2"/>
        <v>0.0000055</v>
      </c>
      <c r="F102" s="1">
        <f t="shared" si="3"/>
        <v>0.0000000055</v>
      </c>
      <c r="G102" s="1">
        <f t="shared" si="4"/>
        <v>1.375</v>
      </c>
      <c r="Q102" s="3"/>
      <c r="R102" s="3"/>
    </row>
    <row r="103" ht="14.25" customHeight="1">
      <c r="A103" s="1">
        <f t="shared" si="7"/>
        <v>11417</v>
      </c>
      <c r="B103" s="1">
        <v>0.0715</v>
      </c>
      <c r="C103" s="1">
        <f t="shared" si="1"/>
        <v>0.0000715</v>
      </c>
      <c r="D103" s="1">
        <f t="shared" si="2"/>
        <v>0.0000055</v>
      </c>
      <c r="F103" s="1">
        <f t="shared" si="3"/>
        <v>0.0000000055</v>
      </c>
      <c r="G103" s="1">
        <f t="shared" si="4"/>
        <v>1.375</v>
      </c>
      <c r="Q103" s="3"/>
      <c r="R103" s="3"/>
    </row>
    <row r="104" ht="14.25" customHeight="1">
      <c r="A104" s="1">
        <f t="shared" si="7"/>
        <v>11468</v>
      </c>
      <c r="B104" s="1">
        <v>0.071</v>
      </c>
      <c r="C104" s="1">
        <f t="shared" si="1"/>
        <v>0.000071</v>
      </c>
      <c r="D104" s="1">
        <f t="shared" si="2"/>
        <v>0.000005461538462</v>
      </c>
      <c r="F104" s="1">
        <f t="shared" si="3"/>
        <v>0.000000005461538462</v>
      </c>
      <c r="G104" s="1">
        <f t="shared" si="4"/>
        <v>1.365384615</v>
      </c>
      <c r="Q104" s="3"/>
      <c r="R104" s="3"/>
    </row>
    <row r="105" ht="14.25" customHeight="1">
      <c r="A105" s="1">
        <f t="shared" si="7"/>
        <v>11519</v>
      </c>
      <c r="B105" s="1">
        <v>0.07</v>
      </c>
      <c r="C105" s="1">
        <f t="shared" si="1"/>
        <v>0.00007</v>
      </c>
      <c r="D105" s="1">
        <f t="shared" si="2"/>
        <v>0.000005384615385</v>
      </c>
      <c r="F105" s="1">
        <f t="shared" si="3"/>
        <v>0.000000005384615385</v>
      </c>
      <c r="G105" s="1">
        <f t="shared" si="4"/>
        <v>1.346153846</v>
      </c>
      <c r="Q105" s="3"/>
      <c r="R105" s="3"/>
    </row>
    <row r="106" ht="14.25" customHeight="1">
      <c r="A106" s="1">
        <f t="shared" si="7"/>
        <v>11570</v>
      </c>
      <c r="B106" s="1">
        <v>0.0695</v>
      </c>
      <c r="C106" s="1">
        <f t="shared" si="1"/>
        <v>0.0000695</v>
      </c>
      <c r="D106" s="1">
        <f t="shared" si="2"/>
        <v>0.000005346153846</v>
      </c>
      <c r="F106" s="1">
        <f t="shared" si="3"/>
        <v>0.000000005346153846</v>
      </c>
      <c r="G106" s="1">
        <f t="shared" si="4"/>
        <v>1.336538462</v>
      </c>
      <c r="Q106" s="3"/>
      <c r="R106" s="3"/>
    </row>
    <row r="107" ht="14.25" customHeight="1">
      <c r="A107" s="1">
        <f t="shared" si="7"/>
        <v>11621</v>
      </c>
      <c r="B107" s="1">
        <v>0.071</v>
      </c>
      <c r="C107" s="1">
        <f t="shared" si="1"/>
        <v>0.000071</v>
      </c>
      <c r="D107" s="1">
        <f t="shared" si="2"/>
        <v>0.000005461538462</v>
      </c>
      <c r="F107" s="1">
        <f t="shared" si="3"/>
        <v>0.000000005461538462</v>
      </c>
      <c r="G107" s="1">
        <f t="shared" si="4"/>
        <v>1.365384615</v>
      </c>
      <c r="Q107" s="3"/>
      <c r="R107" s="3"/>
    </row>
    <row r="108" ht="14.25" customHeight="1">
      <c r="A108" s="1">
        <f t="shared" si="7"/>
        <v>11672</v>
      </c>
      <c r="B108" s="1">
        <v>0.07</v>
      </c>
      <c r="C108" s="1">
        <f t="shared" si="1"/>
        <v>0.00007</v>
      </c>
      <c r="D108" s="1">
        <f t="shared" si="2"/>
        <v>0.000005384615385</v>
      </c>
      <c r="F108" s="1">
        <f t="shared" si="3"/>
        <v>0.000000005384615385</v>
      </c>
      <c r="G108" s="1">
        <f t="shared" si="4"/>
        <v>1.346153846</v>
      </c>
      <c r="Q108" s="3"/>
      <c r="R108" s="3"/>
    </row>
    <row r="109" ht="14.25" customHeight="1">
      <c r="A109" s="1">
        <f t="shared" si="7"/>
        <v>11723</v>
      </c>
      <c r="B109" s="1">
        <v>0.07</v>
      </c>
      <c r="C109" s="1">
        <f t="shared" si="1"/>
        <v>0.00007</v>
      </c>
      <c r="D109" s="1">
        <f t="shared" si="2"/>
        <v>0.000005384615385</v>
      </c>
      <c r="F109" s="1">
        <f t="shared" si="3"/>
        <v>0.000000005384615385</v>
      </c>
      <c r="G109" s="1">
        <f t="shared" si="4"/>
        <v>1.346153846</v>
      </c>
      <c r="Q109" s="3"/>
      <c r="R109" s="3"/>
    </row>
    <row r="110" ht="14.25" customHeight="1">
      <c r="Q110" s="3"/>
      <c r="R110" s="3"/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</v>
      </c>
    </row>
    <row r="2" ht="14.25" customHeight="1">
      <c r="A2" s="2" t="s">
        <v>6</v>
      </c>
      <c r="B2" s="1" t="s">
        <v>14</v>
      </c>
      <c r="C2" s="1" t="s">
        <v>15</v>
      </c>
      <c r="E2" s="1" t="s">
        <v>16</v>
      </c>
    </row>
    <row r="3" ht="14.25" customHeight="1">
      <c r="B3" s="3"/>
      <c r="C3" s="3"/>
      <c r="E3" s="3"/>
      <c r="H3" s="1">
        <v>13.0</v>
      </c>
      <c r="J3" s="3">
        <f>MAX(J4:J108)</f>
        <v>0.562519685</v>
      </c>
    </row>
    <row r="4" ht="14.25" customHeight="1">
      <c r="A4" s="1">
        <v>3843.0</v>
      </c>
      <c r="B4" s="3">
        <v>0.003846153846153847</v>
      </c>
      <c r="C4" s="1">
        <f>Foglio2!G4</f>
        <v>0.007115384615</v>
      </c>
      <c r="E4" s="4">
        <f t="shared" ref="E4:E108" si="1">B4/C4</f>
        <v>0.5405405405</v>
      </c>
      <c r="F4" s="3"/>
      <c r="G4" s="1">
        <f>Foglio1!A4</f>
        <v>3745</v>
      </c>
      <c r="H4" s="3">
        <f>Foglio1!D4</f>
        <v>0.002307692308</v>
      </c>
      <c r="I4" s="1">
        <f>Foglio2!G4</f>
        <v>0.007115384615</v>
      </c>
      <c r="J4" s="3">
        <f t="shared" ref="J4:J108" si="2">H4/I4</f>
        <v>0.3243243243</v>
      </c>
    </row>
    <row r="5" ht="14.25" customHeight="1">
      <c r="A5" s="1">
        <v>3941.0</v>
      </c>
      <c r="B5" s="3">
        <v>0.006153846153846155</v>
      </c>
      <c r="C5" s="1">
        <v>0.17045454545454547</v>
      </c>
      <c r="E5" s="4">
        <f t="shared" si="1"/>
        <v>0.0361025641</v>
      </c>
      <c r="F5" s="3"/>
      <c r="G5" s="1">
        <f>Foglio1!A5</f>
        <v>3843</v>
      </c>
      <c r="H5" s="3">
        <f>Foglio1!D5</f>
        <v>0.003846153846</v>
      </c>
      <c r="I5" s="1">
        <f>Foglio2!G5</f>
        <v>0.1057692308</v>
      </c>
      <c r="J5" s="3">
        <f t="shared" si="2"/>
        <v>0.03636363636</v>
      </c>
    </row>
    <row r="6" ht="14.25" customHeight="1">
      <c r="A6" s="1">
        <v>4039.0</v>
      </c>
      <c r="B6" s="3">
        <v>0.01</v>
      </c>
      <c r="C6" s="1">
        <v>0.2272727272727273</v>
      </c>
      <c r="E6" s="4">
        <f t="shared" si="1"/>
        <v>0.044</v>
      </c>
      <c r="F6" s="3"/>
      <c r="G6" s="1">
        <f>Foglio1!A6</f>
        <v>3941</v>
      </c>
      <c r="H6" s="3">
        <f>Foglio1!D6</f>
        <v>0.006153846154</v>
      </c>
      <c r="I6" s="1">
        <f>Foglio2!G6</f>
        <v>0.1442307692</v>
      </c>
      <c r="J6" s="3">
        <f t="shared" si="2"/>
        <v>0.04266666667</v>
      </c>
    </row>
    <row r="7" ht="14.25" customHeight="1">
      <c r="A7" s="1">
        <v>4137.0</v>
      </c>
      <c r="B7" s="3">
        <v>0.013846153846153848</v>
      </c>
      <c r="C7" s="1">
        <v>0.2840909090909091</v>
      </c>
      <c r="E7" s="4">
        <f t="shared" si="1"/>
        <v>0.04873846154</v>
      </c>
      <c r="F7" s="3"/>
      <c r="G7" s="1">
        <f>Foglio1!A7</f>
        <v>4039</v>
      </c>
      <c r="H7" s="3">
        <f>Foglio1!D7</f>
        <v>0.01</v>
      </c>
      <c r="I7" s="1">
        <f>Foglio2!G7</f>
        <v>0.1923076923</v>
      </c>
      <c r="J7" s="3">
        <f t="shared" si="2"/>
        <v>0.052</v>
      </c>
    </row>
    <row r="8" ht="14.25" customHeight="1">
      <c r="A8" s="1">
        <v>4235.0</v>
      </c>
      <c r="B8" s="3">
        <v>0.019230769230769232</v>
      </c>
      <c r="C8" s="1">
        <v>0.4090909090909091</v>
      </c>
      <c r="E8" s="4">
        <f t="shared" si="1"/>
        <v>0.04700854701</v>
      </c>
      <c r="F8" s="3"/>
      <c r="G8" s="1">
        <f>Foglio1!A8</f>
        <v>4137</v>
      </c>
      <c r="H8" s="3">
        <f>Foglio1!D8</f>
        <v>0.01384615385</v>
      </c>
      <c r="I8" s="1">
        <f>Foglio2!G8</f>
        <v>0.2403846154</v>
      </c>
      <c r="J8" s="3">
        <f t="shared" si="2"/>
        <v>0.0576</v>
      </c>
    </row>
    <row r="9" ht="14.25" customHeight="1">
      <c r="A9" s="1">
        <v>4333.0</v>
      </c>
      <c r="B9" s="3">
        <v>0.025384615384615387</v>
      </c>
      <c r="C9" s="1">
        <v>0.4318181818181818</v>
      </c>
      <c r="E9" s="4">
        <f t="shared" si="1"/>
        <v>0.0587854251</v>
      </c>
      <c r="F9" s="3"/>
      <c r="G9" s="1">
        <f>Foglio1!A9</f>
        <v>4235</v>
      </c>
      <c r="H9" s="3">
        <f>Foglio1!D9</f>
        <v>0.01923076923</v>
      </c>
      <c r="I9" s="1">
        <f>Foglio2!G9</f>
        <v>0.3461538462</v>
      </c>
      <c r="J9" s="3">
        <f t="shared" si="2"/>
        <v>0.05555555556</v>
      </c>
    </row>
    <row r="10" ht="14.25" customHeight="1">
      <c r="A10" s="1">
        <v>4431.0</v>
      </c>
      <c r="B10" s="3">
        <v>0.03384615384615385</v>
      </c>
      <c r="C10" s="1">
        <v>0.48863636363636365</v>
      </c>
      <c r="E10" s="4">
        <f t="shared" si="1"/>
        <v>0.06926654741</v>
      </c>
      <c r="F10" s="3"/>
      <c r="G10" s="1">
        <f>Foglio1!A10</f>
        <v>4333</v>
      </c>
      <c r="H10" s="3">
        <f>Foglio1!D10</f>
        <v>0.02538461538</v>
      </c>
      <c r="I10" s="1">
        <f>Foglio2!G10</f>
        <v>0.3653846154</v>
      </c>
      <c r="J10" s="3">
        <f t="shared" si="2"/>
        <v>0.06947368421</v>
      </c>
    </row>
    <row r="11" ht="14.25" customHeight="1">
      <c r="A11" s="1">
        <v>4529.0</v>
      </c>
      <c r="B11" s="3">
        <v>0.04230769230769231</v>
      </c>
      <c r="C11" s="1">
        <v>0.5113636363636364</v>
      </c>
      <c r="E11" s="4">
        <f t="shared" si="1"/>
        <v>0.08273504274</v>
      </c>
      <c r="F11" s="3"/>
      <c r="G11" s="1">
        <f>Foglio1!A11</f>
        <v>4431</v>
      </c>
      <c r="H11" s="3">
        <f>Foglio1!D11</f>
        <v>0.03384615385</v>
      </c>
      <c r="I11" s="1">
        <f>Foglio2!G11</f>
        <v>0.4134615385</v>
      </c>
      <c r="J11" s="3">
        <f t="shared" si="2"/>
        <v>0.08186046512</v>
      </c>
    </row>
    <row r="12" ht="14.25" customHeight="1">
      <c r="A12" s="1">
        <v>4627.0</v>
      </c>
      <c r="B12" s="3">
        <v>0.05153846153846155</v>
      </c>
      <c r="C12" s="1">
        <v>0.5795454545454546</v>
      </c>
      <c r="E12" s="4">
        <f t="shared" si="1"/>
        <v>0.08892911011</v>
      </c>
      <c r="F12" s="3"/>
      <c r="G12" s="1">
        <f>Foglio1!A12</f>
        <v>4529</v>
      </c>
      <c r="H12" s="3">
        <f>Foglio1!D12</f>
        <v>0.04230769231</v>
      </c>
      <c r="I12" s="1">
        <f>Foglio2!G12</f>
        <v>0.4326923077</v>
      </c>
      <c r="J12" s="3">
        <f t="shared" si="2"/>
        <v>0.09777777778</v>
      </c>
    </row>
    <row r="13" ht="14.25" customHeight="1">
      <c r="A13" s="1">
        <v>4725.0</v>
      </c>
      <c r="B13" s="3">
        <v>0.057692307692307696</v>
      </c>
      <c r="C13" s="1">
        <v>0.6136363636363636</v>
      </c>
      <c r="E13" s="4">
        <f t="shared" si="1"/>
        <v>0.09401709402</v>
      </c>
      <c r="F13" s="3"/>
      <c r="G13" s="1">
        <f>Foglio1!A13</f>
        <v>4627</v>
      </c>
      <c r="H13" s="3">
        <f>Foglio1!D13</f>
        <v>0.05153846154</v>
      </c>
      <c r="I13" s="1">
        <f>Foglio2!G13</f>
        <v>0.4903846154</v>
      </c>
      <c r="J13" s="3">
        <f t="shared" si="2"/>
        <v>0.1050980392</v>
      </c>
    </row>
    <row r="14" ht="14.25" customHeight="1">
      <c r="A14" s="1">
        <v>4823.0</v>
      </c>
      <c r="B14" s="3">
        <v>0.07</v>
      </c>
      <c r="C14" s="1">
        <v>0.6477272727272728</v>
      </c>
      <c r="E14" s="4">
        <f t="shared" si="1"/>
        <v>0.1080701754</v>
      </c>
      <c r="F14" s="3"/>
      <c r="G14" s="1">
        <f>Foglio1!A14</f>
        <v>4725</v>
      </c>
      <c r="H14" s="3">
        <f>Foglio1!D14</f>
        <v>0.05769230769</v>
      </c>
      <c r="I14" s="1">
        <f>Foglio2!G14</f>
        <v>0.5192307692</v>
      </c>
      <c r="J14" s="3">
        <f t="shared" si="2"/>
        <v>0.1111111111</v>
      </c>
    </row>
    <row r="15" ht="14.25" customHeight="1">
      <c r="A15" s="1">
        <v>4921.0</v>
      </c>
      <c r="B15" s="3">
        <v>0.07923076923076924</v>
      </c>
      <c r="C15" s="1">
        <v>0.7159090909090909</v>
      </c>
      <c r="E15" s="4">
        <f t="shared" si="1"/>
        <v>0.1106715507</v>
      </c>
      <c r="F15" s="3"/>
      <c r="G15" s="1">
        <f>Foglio1!A15</f>
        <v>4823</v>
      </c>
      <c r="H15" s="3">
        <f>Foglio1!D15</f>
        <v>0.07</v>
      </c>
      <c r="I15" s="1">
        <f>Foglio2!G15</f>
        <v>0.5480769231</v>
      </c>
      <c r="J15" s="3">
        <f t="shared" si="2"/>
        <v>0.1277192982</v>
      </c>
    </row>
    <row r="16" ht="14.25" customHeight="1">
      <c r="A16" s="1">
        <v>5019.0</v>
      </c>
      <c r="B16" s="3">
        <v>0.09076923076923078</v>
      </c>
      <c r="C16" s="1">
        <v>0.75</v>
      </c>
      <c r="E16" s="4">
        <f t="shared" si="1"/>
        <v>0.121025641</v>
      </c>
      <c r="F16" s="3"/>
      <c r="G16" s="1">
        <f>Foglio1!A16</f>
        <v>4921</v>
      </c>
      <c r="H16" s="3">
        <f>Foglio1!D16</f>
        <v>0.07923076923</v>
      </c>
      <c r="I16" s="1">
        <f>Foglio2!G16</f>
        <v>0.6057692308</v>
      </c>
      <c r="J16" s="3">
        <f t="shared" si="2"/>
        <v>0.1307936508</v>
      </c>
    </row>
    <row r="17" ht="14.25" customHeight="1">
      <c r="A17" s="1">
        <v>5117.0</v>
      </c>
      <c r="B17" s="3">
        <v>0.10461538461538462</v>
      </c>
      <c r="C17" s="1">
        <v>0.8181818181818182</v>
      </c>
      <c r="E17" s="4">
        <f t="shared" si="1"/>
        <v>0.1278632479</v>
      </c>
      <c r="F17" s="3"/>
      <c r="G17" s="1">
        <f>Foglio1!A17</f>
        <v>5019</v>
      </c>
      <c r="H17" s="3">
        <f>Foglio1!D17</f>
        <v>0.09076923077</v>
      </c>
      <c r="I17" s="1">
        <f>Foglio2!G17</f>
        <v>0.6346153846</v>
      </c>
      <c r="J17" s="3">
        <f t="shared" si="2"/>
        <v>0.143030303</v>
      </c>
    </row>
    <row r="18" ht="14.25" customHeight="1">
      <c r="A18" s="1">
        <v>5215.0</v>
      </c>
      <c r="B18" s="3">
        <v>0.11846153846153847</v>
      </c>
      <c r="C18" s="1">
        <v>0.8636363636363636</v>
      </c>
      <c r="E18" s="4">
        <f t="shared" si="1"/>
        <v>0.1371659919</v>
      </c>
      <c r="F18" s="3"/>
      <c r="G18" s="1">
        <f>Foglio1!A18</f>
        <v>5117</v>
      </c>
      <c r="H18" s="3">
        <f>Foglio1!D18</f>
        <v>0.1046153846</v>
      </c>
      <c r="I18" s="1">
        <f>Foglio2!G18</f>
        <v>0.6923076923</v>
      </c>
      <c r="J18" s="3">
        <f t="shared" si="2"/>
        <v>0.1511111111</v>
      </c>
    </row>
    <row r="19" ht="14.25" customHeight="1">
      <c r="A19" s="1">
        <v>5313.0</v>
      </c>
      <c r="B19" s="3">
        <v>0.1346153846153846</v>
      </c>
      <c r="C19" s="1">
        <v>0.8977272727272727</v>
      </c>
      <c r="E19" s="4">
        <f t="shared" si="1"/>
        <v>0.1499513145</v>
      </c>
      <c r="F19" s="3"/>
      <c r="G19" s="1">
        <f>Foglio1!A19</f>
        <v>5215</v>
      </c>
      <c r="H19" s="3">
        <f>Foglio1!D19</f>
        <v>0.1184615385</v>
      </c>
      <c r="I19" s="1">
        <f>Foglio2!G19</f>
        <v>0.7307692308</v>
      </c>
      <c r="J19" s="3">
        <f t="shared" si="2"/>
        <v>0.1621052632</v>
      </c>
    </row>
    <row r="20" ht="14.25" customHeight="1">
      <c r="A20" s="1">
        <v>5411.0</v>
      </c>
      <c r="B20" s="3">
        <v>0.14846153846153848</v>
      </c>
      <c r="C20" s="1">
        <v>0.9431818181818183</v>
      </c>
      <c r="E20" s="4">
        <f t="shared" si="1"/>
        <v>0.1574050046</v>
      </c>
      <c r="F20" s="3"/>
      <c r="G20" s="1">
        <f>Foglio1!A20</f>
        <v>5313</v>
      </c>
      <c r="H20" s="3">
        <f>Foglio1!D20</f>
        <v>0.1346153846</v>
      </c>
      <c r="I20" s="1">
        <f>Foglio2!G20</f>
        <v>0.7596153846</v>
      </c>
      <c r="J20" s="3">
        <f t="shared" si="2"/>
        <v>0.1772151899</v>
      </c>
    </row>
    <row r="21" ht="14.25" customHeight="1">
      <c r="A21" s="1">
        <v>5509.0</v>
      </c>
      <c r="B21" s="3">
        <v>0.1684615384615385</v>
      </c>
      <c r="C21" s="1">
        <v>1.0454545454545454</v>
      </c>
      <c r="E21" s="4">
        <f t="shared" si="1"/>
        <v>0.1611371237</v>
      </c>
      <c r="F21" s="3"/>
      <c r="G21" s="1">
        <f>Foglio1!A21</f>
        <v>5411</v>
      </c>
      <c r="H21" s="3">
        <f>Foglio1!D21</f>
        <v>0.1484615385</v>
      </c>
      <c r="I21" s="1">
        <f>Foglio2!G21</f>
        <v>0.7980769231</v>
      </c>
      <c r="J21" s="3">
        <f t="shared" si="2"/>
        <v>0.1860240964</v>
      </c>
    </row>
    <row r="22" ht="14.25" customHeight="1">
      <c r="A22" s="1">
        <v>5607.0</v>
      </c>
      <c r="B22" s="3">
        <v>0.19615384615384618</v>
      </c>
      <c r="C22" s="1">
        <v>1.1363636363636365</v>
      </c>
      <c r="E22" s="4">
        <f t="shared" si="1"/>
        <v>0.1726153846</v>
      </c>
      <c r="F22" s="3"/>
      <c r="G22" s="1">
        <f>Foglio1!A22</f>
        <v>5509</v>
      </c>
      <c r="H22" s="3">
        <f>Foglio1!D22</f>
        <v>0.1684615385</v>
      </c>
      <c r="I22" s="1">
        <f>Foglio2!G22</f>
        <v>0.8846153846</v>
      </c>
      <c r="J22" s="3">
        <f t="shared" si="2"/>
        <v>0.1904347826</v>
      </c>
    </row>
    <row r="23" ht="14.25" customHeight="1">
      <c r="A23" s="1">
        <v>5705.0</v>
      </c>
      <c r="B23" s="3">
        <v>0.20461538461538462</v>
      </c>
      <c r="C23" s="1">
        <v>1.1818181818181819</v>
      </c>
      <c r="E23" s="4">
        <f t="shared" si="1"/>
        <v>0.1731360947</v>
      </c>
      <c r="F23" s="3"/>
      <c r="G23" s="1">
        <f>Foglio1!A23</f>
        <v>5607</v>
      </c>
      <c r="H23" s="3">
        <f>Foglio1!D23</f>
        <v>0.1961538462</v>
      </c>
      <c r="I23" s="1">
        <f>Foglio2!G23</f>
        <v>0.9615384615</v>
      </c>
      <c r="J23" s="3">
        <f t="shared" si="2"/>
        <v>0.204</v>
      </c>
    </row>
    <row r="24" ht="14.25" customHeight="1">
      <c r="A24" s="1">
        <v>5807.0</v>
      </c>
      <c r="B24" s="3">
        <v>0.22692307692307695</v>
      </c>
      <c r="C24" s="1">
        <v>1.2272727272727273</v>
      </c>
      <c r="E24" s="4">
        <f t="shared" si="1"/>
        <v>0.1849002849</v>
      </c>
      <c r="F24" s="3"/>
      <c r="G24" s="1">
        <f>Foglio1!A24</f>
        <v>5705</v>
      </c>
      <c r="H24" s="3">
        <f>Foglio1!D24</f>
        <v>0.2046153846</v>
      </c>
      <c r="I24" s="1">
        <f>Foglio2!G24</f>
        <v>1</v>
      </c>
      <c r="J24" s="3">
        <f t="shared" si="2"/>
        <v>0.2046153846</v>
      </c>
    </row>
    <row r="25" ht="14.25" customHeight="1">
      <c r="A25" s="1">
        <v>5909.0</v>
      </c>
      <c r="B25" s="3">
        <v>0.27692307692307694</v>
      </c>
      <c r="C25" s="1">
        <v>1.3863636363636365</v>
      </c>
      <c r="E25" s="4">
        <f t="shared" si="1"/>
        <v>0.1997477932</v>
      </c>
      <c r="F25" s="3"/>
      <c r="G25" s="1">
        <f>Foglio1!A25</f>
        <v>5807</v>
      </c>
      <c r="H25" s="3">
        <f>Foglio1!D25</f>
        <v>0.2269230769</v>
      </c>
      <c r="I25" s="1">
        <f>Foglio2!G25</f>
        <v>1.038461538</v>
      </c>
      <c r="J25" s="3">
        <f t="shared" si="2"/>
        <v>0.2185185185</v>
      </c>
    </row>
    <row r="26" ht="14.25" customHeight="1">
      <c r="A26" s="1">
        <v>6011.0</v>
      </c>
      <c r="B26" s="3">
        <v>0.29538461538461547</v>
      </c>
      <c r="C26" s="1">
        <v>1.4090909090909094</v>
      </c>
      <c r="E26" s="4">
        <f t="shared" si="1"/>
        <v>0.2096277916</v>
      </c>
      <c r="F26" s="3"/>
      <c r="G26" s="1">
        <f>Foglio1!A26</f>
        <v>5909</v>
      </c>
      <c r="H26" s="3">
        <f>Foglio1!D26</f>
        <v>0.2769230769</v>
      </c>
      <c r="I26" s="1">
        <f>Foglio2!G26</f>
        <v>1.173076923</v>
      </c>
      <c r="J26" s="3">
        <f t="shared" si="2"/>
        <v>0.2360655738</v>
      </c>
    </row>
    <row r="27" ht="14.25" customHeight="1">
      <c r="A27" s="1">
        <v>6113.0</v>
      </c>
      <c r="B27" s="3">
        <v>0.2984615384615385</v>
      </c>
      <c r="C27" s="1">
        <v>1.3636363636363638</v>
      </c>
      <c r="E27" s="4">
        <f t="shared" si="1"/>
        <v>0.2188717949</v>
      </c>
      <c r="F27" s="3"/>
      <c r="G27" s="1">
        <f>Foglio1!A27</f>
        <v>6011</v>
      </c>
      <c r="H27" s="3">
        <f>Foglio1!D27</f>
        <v>0.2953846154</v>
      </c>
      <c r="I27" s="1">
        <f>Foglio2!G27</f>
        <v>1.192307692</v>
      </c>
      <c r="J27" s="3">
        <f t="shared" si="2"/>
        <v>0.2477419355</v>
      </c>
    </row>
    <row r="28" ht="14.25" customHeight="1">
      <c r="A28" s="1">
        <v>6215.0</v>
      </c>
      <c r="B28" s="3">
        <v>0.3069230769230769</v>
      </c>
      <c r="C28" s="1">
        <v>1.3636363636363638</v>
      </c>
      <c r="E28" s="4">
        <f t="shared" si="1"/>
        <v>0.2250769231</v>
      </c>
      <c r="F28" s="3"/>
      <c r="G28" s="1">
        <f>Foglio1!A28</f>
        <v>6113</v>
      </c>
      <c r="H28" s="3">
        <f>Foglio1!D28</f>
        <v>0.2984615385</v>
      </c>
      <c r="I28" s="1">
        <f>Foglio2!G28</f>
        <v>1.153846154</v>
      </c>
      <c r="J28" s="3">
        <f t="shared" si="2"/>
        <v>0.2586666667</v>
      </c>
    </row>
    <row r="29" ht="14.25" customHeight="1">
      <c r="A29" s="1">
        <v>6317.0</v>
      </c>
      <c r="B29" s="3">
        <v>0.3184615384615384</v>
      </c>
      <c r="C29" s="1">
        <v>1.340909090909091</v>
      </c>
      <c r="E29" s="4">
        <f t="shared" si="1"/>
        <v>0.2374967405</v>
      </c>
      <c r="F29" s="3"/>
      <c r="G29" s="1">
        <f>Foglio1!A29</f>
        <v>6215</v>
      </c>
      <c r="H29" s="3">
        <f>Foglio1!D29</f>
        <v>0.3069230769</v>
      </c>
      <c r="I29" s="1">
        <f>Foglio2!G29</f>
        <v>1.153846154</v>
      </c>
      <c r="J29" s="3">
        <f t="shared" si="2"/>
        <v>0.266</v>
      </c>
    </row>
    <row r="30" ht="14.25" customHeight="1">
      <c r="A30" s="1">
        <v>6419.0</v>
      </c>
      <c r="B30" s="3">
        <v>0.33230769230769236</v>
      </c>
      <c r="C30" s="1">
        <v>1.3181818181818186</v>
      </c>
      <c r="E30" s="4">
        <f t="shared" si="1"/>
        <v>0.2520954907</v>
      </c>
      <c r="F30" s="3"/>
      <c r="G30" s="1">
        <f>Foglio1!A30</f>
        <v>6317</v>
      </c>
      <c r="H30" s="3">
        <f>Foglio1!D30</f>
        <v>0.3184615385</v>
      </c>
      <c r="I30" s="1">
        <f>Foglio2!G30</f>
        <v>1.134615385</v>
      </c>
      <c r="J30" s="3">
        <f t="shared" si="2"/>
        <v>0.2806779661</v>
      </c>
    </row>
    <row r="31" ht="14.25" customHeight="1">
      <c r="A31" s="1">
        <v>6521.0</v>
      </c>
      <c r="B31" s="3">
        <v>0.3422307692307693</v>
      </c>
      <c r="C31" s="1">
        <v>1.3636363636363638</v>
      </c>
      <c r="E31" s="4">
        <f t="shared" si="1"/>
        <v>0.2509692308</v>
      </c>
      <c r="F31" s="3"/>
      <c r="G31" s="1">
        <f>Foglio1!A31</f>
        <v>6419</v>
      </c>
      <c r="H31" s="3">
        <f>Foglio1!D31</f>
        <v>0.3323076923</v>
      </c>
      <c r="I31" s="1">
        <f>Foglio2!G31</f>
        <v>1.115384615</v>
      </c>
      <c r="J31" s="3">
        <f t="shared" si="2"/>
        <v>0.2979310345</v>
      </c>
    </row>
    <row r="32" ht="14.25" customHeight="1">
      <c r="A32" s="1">
        <v>6623.0</v>
      </c>
      <c r="B32" s="3">
        <v>0.3584615384615385</v>
      </c>
      <c r="C32" s="1">
        <v>1.3863636363636365</v>
      </c>
      <c r="E32" s="4">
        <f t="shared" si="1"/>
        <v>0.2585624212</v>
      </c>
      <c r="F32" s="3"/>
      <c r="G32" s="1">
        <f>Foglio1!A32</f>
        <v>6521</v>
      </c>
      <c r="H32" s="3">
        <f>Foglio1!D32</f>
        <v>0.3422307692</v>
      </c>
      <c r="I32" s="1">
        <f>Foglio2!G32</f>
        <v>1.153846154</v>
      </c>
      <c r="J32" s="3">
        <f t="shared" si="2"/>
        <v>0.2966</v>
      </c>
    </row>
    <row r="33" ht="14.25" customHeight="1">
      <c r="A33" s="1">
        <v>6725.0</v>
      </c>
      <c r="B33" s="3">
        <v>0.37076923076923074</v>
      </c>
      <c r="C33" s="1">
        <v>1.340909090909091</v>
      </c>
      <c r="E33" s="4">
        <f t="shared" si="1"/>
        <v>0.276505867</v>
      </c>
      <c r="F33" s="3"/>
      <c r="G33" s="1">
        <f>Foglio1!A33</f>
        <v>6623</v>
      </c>
      <c r="H33" s="3">
        <f>Foglio1!D33</f>
        <v>0.3584615385</v>
      </c>
      <c r="I33" s="1">
        <f>Foglio2!G33</f>
        <v>1.173076923</v>
      </c>
      <c r="J33" s="3">
        <f t="shared" si="2"/>
        <v>0.3055737705</v>
      </c>
    </row>
    <row r="34" ht="14.25" customHeight="1">
      <c r="A34" s="1">
        <v>6827.0</v>
      </c>
      <c r="B34" s="3">
        <v>0.3823076923076923</v>
      </c>
      <c r="C34" s="1">
        <v>1.3636363636363638</v>
      </c>
      <c r="E34" s="4">
        <f t="shared" si="1"/>
        <v>0.2803589744</v>
      </c>
      <c r="F34" s="3"/>
      <c r="G34" s="1">
        <f>Foglio1!A34</f>
        <v>6725</v>
      </c>
      <c r="H34" s="3">
        <f>Foglio1!D34</f>
        <v>0.3707692308</v>
      </c>
      <c r="I34" s="1">
        <f>Foglio2!G34</f>
        <v>1.134615385</v>
      </c>
      <c r="J34" s="3">
        <f t="shared" si="2"/>
        <v>0.326779661</v>
      </c>
    </row>
    <row r="35" ht="14.25" customHeight="1">
      <c r="A35" s="1">
        <v>6929.0</v>
      </c>
      <c r="B35" s="3">
        <v>0.39230769230769236</v>
      </c>
      <c r="C35" s="1">
        <v>1.3636363636363638</v>
      </c>
      <c r="E35" s="4">
        <f t="shared" si="1"/>
        <v>0.2876923077</v>
      </c>
      <c r="F35" s="3"/>
      <c r="G35" s="1">
        <f>Foglio1!A35</f>
        <v>6827</v>
      </c>
      <c r="H35" s="3">
        <f>Foglio1!D35</f>
        <v>0.3823076923</v>
      </c>
      <c r="I35" s="1">
        <f>Foglio2!G35</f>
        <v>1.153846154</v>
      </c>
      <c r="J35" s="3">
        <f t="shared" si="2"/>
        <v>0.3313333333</v>
      </c>
    </row>
    <row r="36" ht="14.25" customHeight="1">
      <c r="A36" s="1">
        <v>7031.0</v>
      </c>
      <c r="B36" s="3">
        <v>0.40153846153846157</v>
      </c>
      <c r="C36" s="1">
        <v>1.3636363636363638</v>
      </c>
      <c r="E36" s="4">
        <f t="shared" si="1"/>
        <v>0.2944615385</v>
      </c>
      <c r="F36" s="3"/>
      <c r="G36" s="1">
        <f>Foglio1!A36</f>
        <v>6929</v>
      </c>
      <c r="H36" s="3">
        <f>Foglio1!D36</f>
        <v>0.3923076923</v>
      </c>
      <c r="I36" s="1">
        <f>Foglio2!G36</f>
        <v>1.153846154</v>
      </c>
      <c r="J36" s="3">
        <f t="shared" si="2"/>
        <v>0.34</v>
      </c>
    </row>
    <row r="37" ht="14.25" customHeight="1">
      <c r="A37" s="1">
        <v>7133.0</v>
      </c>
      <c r="B37" s="3">
        <v>0.40769230769230774</v>
      </c>
      <c r="C37" s="1">
        <v>1.3636363636363638</v>
      </c>
      <c r="E37" s="4">
        <f t="shared" si="1"/>
        <v>0.298974359</v>
      </c>
      <c r="F37" s="3"/>
      <c r="G37" s="1">
        <f>Foglio1!A37</f>
        <v>7031</v>
      </c>
      <c r="H37" s="3">
        <f>Foglio1!D37</f>
        <v>0.4015384615</v>
      </c>
      <c r="I37" s="1">
        <f>Foglio2!G37</f>
        <v>1.153846154</v>
      </c>
      <c r="J37" s="3">
        <f t="shared" si="2"/>
        <v>0.348</v>
      </c>
    </row>
    <row r="38" ht="14.25" customHeight="1">
      <c r="A38" s="1">
        <v>7235.0</v>
      </c>
      <c r="B38" s="3">
        <v>0.4130769230769231</v>
      </c>
      <c r="C38" s="1">
        <v>1.340909090909091</v>
      </c>
      <c r="E38" s="4">
        <f t="shared" si="1"/>
        <v>0.3080573664</v>
      </c>
      <c r="F38" s="3"/>
      <c r="G38" s="1">
        <f>Foglio1!A38</f>
        <v>7133</v>
      </c>
      <c r="H38" s="3">
        <f>Foglio1!D38</f>
        <v>0.4076923077</v>
      </c>
      <c r="I38" s="1">
        <f>Foglio2!G38</f>
        <v>1.153846154</v>
      </c>
      <c r="J38" s="3">
        <f t="shared" si="2"/>
        <v>0.3533333333</v>
      </c>
    </row>
    <row r="39" ht="14.25" customHeight="1">
      <c r="A39" s="1">
        <v>7337.0</v>
      </c>
      <c r="B39" s="3">
        <v>0.41615384615384615</v>
      </c>
      <c r="C39" s="1">
        <v>1.2954545454545456</v>
      </c>
      <c r="E39" s="4">
        <f t="shared" si="1"/>
        <v>0.3212415655</v>
      </c>
      <c r="F39" s="3"/>
      <c r="G39" s="1">
        <f>Foglio1!A39</f>
        <v>7235</v>
      </c>
      <c r="H39" s="3">
        <f>Foglio1!D39</f>
        <v>0.4130769231</v>
      </c>
      <c r="I39" s="1">
        <f>Foglio2!G39</f>
        <v>1.134615385</v>
      </c>
      <c r="J39" s="3">
        <f t="shared" si="2"/>
        <v>0.3640677966</v>
      </c>
    </row>
    <row r="40" ht="14.25" customHeight="1">
      <c r="A40" s="1">
        <v>7439.0</v>
      </c>
      <c r="B40" s="3">
        <v>0.41615384615384615</v>
      </c>
      <c r="C40" s="1">
        <v>1.2500000000000002</v>
      </c>
      <c r="E40" s="4">
        <f t="shared" si="1"/>
        <v>0.3329230769</v>
      </c>
      <c r="F40" s="3"/>
      <c r="G40" s="1">
        <f>Foglio1!A40</f>
        <v>7337</v>
      </c>
      <c r="H40" s="3">
        <f>Foglio1!D40</f>
        <v>0.4161538462</v>
      </c>
      <c r="I40" s="1">
        <f>Foglio2!G40</f>
        <v>1.096153846</v>
      </c>
      <c r="J40" s="3">
        <f t="shared" si="2"/>
        <v>0.3796491228</v>
      </c>
    </row>
    <row r="41" ht="14.25" customHeight="1">
      <c r="A41" s="1">
        <v>7541.0</v>
      </c>
      <c r="B41" s="3">
        <v>0.4115384615384615</v>
      </c>
      <c r="C41" s="1">
        <v>1.2272727272727273</v>
      </c>
      <c r="E41" s="4">
        <f t="shared" si="1"/>
        <v>0.3353276353</v>
      </c>
      <c r="F41" s="3"/>
      <c r="G41" s="1">
        <f>Foglio1!A41</f>
        <v>7439</v>
      </c>
      <c r="H41" s="3">
        <f>Foglio1!D41</f>
        <v>0.4161538462</v>
      </c>
      <c r="I41" s="1">
        <f>Foglio2!G41</f>
        <v>1.057692308</v>
      </c>
      <c r="J41" s="3">
        <f t="shared" si="2"/>
        <v>0.3934545455</v>
      </c>
    </row>
    <row r="42" ht="14.25" customHeight="1">
      <c r="A42" s="1">
        <v>7643.0</v>
      </c>
      <c r="B42" s="3">
        <v>0.4300000000000001</v>
      </c>
      <c r="C42" s="1">
        <v>1.2500000000000002</v>
      </c>
      <c r="E42" s="4">
        <f t="shared" si="1"/>
        <v>0.344</v>
      </c>
      <c r="F42" s="3"/>
      <c r="G42" s="1">
        <f>Foglio1!A42</f>
        <v>7541</v>
      </c>
      <c r="H42" s="3">
        <f>Foglio1!D42</f>
        <v>0.4115384615</v>
      </c>
      <c r="I42" s="1">
        <f>Foglio2!G42</f>
        <v>1.038461538</v>
      </c>
      <c r="J42" s="3">
        <f t="shared" si="2"/>
        <v>0.3962962963</v>
      </c>
    </row>
    <row r="43" ht="14.25" customHeight="1">
      <c r="A43" s="1">
        <v>7745.0</v>
      </c>
      <c r="B43" s="3">
        <v>0.49076923076923085</v>
      </c>
      <c r="C43" s="1">
        <v>1.3863636363636365</v>
      </c>
      <c r="E43" s="4">
        <f t="shared" si="1"/>
        <v>0.3539974779</v>
      </c>
      <c r="F43" s="3"/>
      <c r="G43" s="1">
        <f>Foglio1!A43</f>
        <v>7643</v>
      </c>
      <c r="H43" s="3">
        <f>Foglio1!D43</f>
        <v>0.43</v>
      </c>
      <c r="I43" s="1">
        <f>Foglio2!G43</f>
        <v>1.057692308</v>
      </c>
      <c r="J43" s="3">
        <f t="shared" si="2"/>
        <v>0.4065454545</v>
      </c>
    </row>
    <row r="44" ht="14.25" customHeight="1">
      <c r="A44" s="1">
        <v>7847.0</v>
      </c>
      <c r="B44" s="3">
        <v>0.45461538461538464</v>
      </c>
      <c r="C44" s="1">
        <v>1.2500000000000002</v>
      </c>
      <c r="E44" s="4">
        <f t="shared" si="1"/>
        <v>0.3636923077</v>
      </c>
      <c r="F44" s="3"/>
      <c r="G44" s="1">
        <f>Foglio1!A44</f>
        <v>7745</v>
      </c>
      <c r="H44" s="3">
        <f>Foglio1!D44</f>
        <v>0.4907692308</v>
      </c>
      <c r="I44" s="1">
        <f>Foglio2!G44</f>
        <v>1.173076923</v>
      </c>
      <c r="J44" s="3">
        <f t="shared" si="2"/>
        <v>0.4183606557</v>
      </c>
    </row>
    <row r="45" ht="14.25" customHeight="1">
      <c r="A45" s="1">
        <v>7949.0</v>
      </c>
      <c r="B45" s="3">
        <v>0.41615384615384615</v>
      </c>
      <c r="C45" s="1">
        <v>1.1363636363636365</v>
      </c>
      <c r="E45" s="4">
        <f t="shared" si="1"/>
        <v>0.3662153846</v>
      </c>
      <c r="F45" s="3"/>
      <c r="G45" s="1">
        <f>Foglio1!A45</f>
        <v>7847</v>
      </c>
      <c r="H45" s="3">
        <f>Foglio1!D45</f>
        <v>0.4546153846</v>
      </c>
      <c r="I45" s="1">
        <f>Foglio2!G45</f>
        <v>1.057692308</v>
      </c>
      <c r="J45" s="3">
        <f t="shared" si="2"/>
        <v>0.4298181818</v>
      </c>
    </row>
    <row r="46" ht="14.25" customHeight="1">
      <c r="A46" s="1">
        <v>8051.0</v>
      </c>
      <c r="B46" s="3">
        <v>0.3938461538461539</v>
      </c>
      <c r="C46" s="1">
        <v>1.0568181818181817</v>
      </c>
      <c r="E46" s="4">
        <f t="shared" si="1"/>
        <v>0.3726716294</v>
      </c>
      <c r="F46" s="3"/>
      <c r="G46" s="1">
        <f>Foglio1!A46</f>
        <v>7949</v>
      </c>
      <c r="H46" s="3">
        <f>Foglio1!D46</f>
        <v>0.4161538462</v>
      </c>
      <c r="I46" s="1">
        <f>Foglio2!G46</f>
        <v>0.9615384615</v>
      </c>
      <c r="J46" s="3">
        <f t="shared" si="2"/>
        <v>0.4328</v>
      </c>
    </row>
    <row r="47" ht="14.25" customHeight="1">
      <c r="A47" s="1">
        <v>8153.0</v>
      </c>
      <c r="B47" s="3">
        <v>0.3830769230769231</v>
      </c>
      <c r="C47" s="1">
        <v>1.0227272727272727</v>
      </c>
      <c r="E47" s="4">
        <f t="shared" si="1"/>
        <v>0.3745641026</v>
      </c>
      <c r="F47" s="3"/>
      <c r="G47" s="1">
        <f>Foglio1!A47</f>
        <v>8051</v>
      </c>
      <c r="H47" s="3">
        <f>Foglio1!D47</f>
        <v>0.3938461538</v>
      </c>
      <c r="I47" s="1">
        <f>Foglio2!G47</f>
        <v>0.8942307692</v>
      </c>
      <c r="J47" s="3">
        <f t="shared" si="2"/>
        <v>0.4404301075</v>
      </c>
    </row>
    <row r="48" ht="14.25" customHeight="1">
      <c r="A48" s="1">
        <v>8255.0</v>
      </c>
      <c r="B48" s="3">
        <v>0.38076923076923086</v>
      </c>
      <c r="C48" s="1">
        <v>1.0</v>
      </c>
      <c r="E48" s="4">
        <f t="shared" si="1"/>
        <v>0.3807692308</v>
      </c>
      <c r="F48" s="3"/>
      <c r="G48" s="1">
        <f>Foglio1!A48</f>
        <v>8153</v>
      </c>
      <c r="H48" s="3">
        <f>Foglio1!D48</f>
        <v>0.3830769231</v>
      </c>
      <c r="I48" s="1">
        <f>Foglio2!G48</f>
        <v>0.8653846154</v>
      </c>
      <c r="J48" s="3">
        <f t="shared" si="2"/>
        <v>0.4426666667</v>
      </c>
    </row>
    <row r="49" ht="14.25" customHeight="1">
      <c r="A49" s="1">
        <v>8357.0</v>
      </c>
      <c r="B49" s="3">
        <v>0.3861538461538462</v>
      </c>
      <c r="C49" s="1">
        <v>0.9545454545454546</v>
      </c>
      <c r="E49" s="4">
        <f t="shared" si="1"/>
        <v>0.4045421245</v>
      </c>
      <c r="F49" s="3"/>
      <c r="G49" s="1">
        <f>Foglio1!A49</f>
        <v>8255</v>
      </c>
      <c r="H49" s="3">
        <f>Foglio1!D49</f>
        <v>0.3807692308</v>
      </c>
      <c r="I49" s="1">
        <f>Foglio2!G49</f>
        <v>0.8461538462</v>
      </c>
      <c r="J49" s="3">
        <f t="shared" si="2"/>
        <v>0.45</v>
      </c>
    </row>
    <row r="50" ht="14.25" customHeight="1">
      <c r="A50" s="1">
        <v>8459.0</v>
      </c>
      <c r="B50" s="3">
        <v>0.4007692307692308</v>
      </c>
      <c r="C50" s="1">
        <v>1.0227272727272727</v>
      </c>
      <c r="E50" s="4">
        <f t="shared" si="1"/>
        <v>0.3918632479</v>
      </c>
      <c r="F50" s="3"/>
      <c r="G50" s="1">
        <f>Foglio1!A50</f>
        <v>8357</v>
      </c>
      <c r="H50" s="3">
        <f>Foglio1!D50</f>
        <v>0.3861538462</v>
      </c>
      <c r="I50" s="1">
        <f>Foglio2!G50</f>
        <v>0.8076923077</v>
      </c>
      <c r="J50" s="3">
        <f t="shared" si="2"/>
        <v>0.4780952381</v>
      </c>
    </row>
    <row r="51" ht="14.25" customHeight="1">
      <c r="A51" s="1">
        <v>8561.0</v>
      </c>
      <c r="B51" s="3">
        <v>0.4253846153846154</v>
      </c>
      <c r="C51" s="1">
        <v>1.0454545454545454</v>
      </c>
      <c r="E51" s="4">
        <f t="shared" si="1"/>
        <v>0.4068896321</v>
      </c>
      <c r="F51" s="3"/>
      <c r="G51" s="1">
        <f>Foglio1!A51</f>
        <v>8459</v>
      </c>
      <c r="H51" s="3">
        <f>Foglio1!D51</f>
        <v>0.4007692308</v>
      </c>
      <c r="I51" s="1">
        <f>Foglio2!G51</f>
        <v>0.8653846154</v>
      </c>
      <c r="J51" s="3">
        <f t="shared" si="2"/>
        <v>0.4631111111</v>
      </c>
    </row>
    <row r="52" ht="14.25" customHeight="1">
      <c r="A52" s="1">
        <v>8663.0</v>
      </c>
      <c r="B52" s="3">
        <v>0.45538461538461544</v>
      </c>
      <c r="C52" s="1">
        <v>1.090909090909091</v>
      </c>
      <c r="E52" s="4">
        <f t="shared" si="1"/>
        <v>0.4174358974</v>
      </c>
      <c r="F52" s="3"/>
      <c r="G52" s="1">
        <f>Foglio1!A52</f>
        <v>8561</v>
      </c>
      <c r="H52" s="3">
        <f>Foglio1!D52</f>
        <v>0.4253846154</v>
      </c>
      <c r="I52" s="1">
        <f>Foglio2!G52</f>
        <v>0.8846153846</v>
      </c>
      <c r="J52" s="3">
        <f t="shared" si="2"/>
        <v>0.4808695652</v>
      </c>
    </row>
    <row r="53" ht="14.25" customHeight="1">
      <c r="A53" s="1">
        <v>8765.0</v>
      </c>
      <c r="B53" s="3">
        <v>0.4938461538461539</v>
      </c>
      <c r="C53" s="1">
        <v>1.1590909090909092</v>
      </c>
      <c r="E53" s="4">
        <f t="shared" si="1"/>
        <v>0.4260633484</v>
      </c>
      <c r="F53" s="3"/>
      <c r="G53" s="1">
        <f>Foglio1!A53</f>
        <v>8663</v>
      </c>
      <c r="H53" s="3">
        <f>Foglio1!D53</f>
        <v>0.4553846154</v>
      </c>
      <c r="I53" s="1">
        <f>Foglio2!G53</f>
        <v>0.9230769231</v>
      </c>
      <c r="J53" s="3">
        <f t="shared" si="2"/>
        <v>0.4933333333</v>
      </c>
    </row>
    <row r="54" ht="14.25" customHeight="1">
      <c r="A54" s="1">
        <v>8867.0</v>
      </c>
      <c r="B54" s="3">
        <v>0.5353846153846155</v>
      </c>
      <c r="C54" s="1">
        <v>1.2500000000000002</v>
      </c>
      <c r="E54" s="4">
        <f t="shared" si="1"/>
        <v>0.4283076923</v>
      </c>
      <c r="F54" s="3"/>
      <c r="G54" s="1">
        <f>Foglio1!A54</f>
        <v>8765</v>
      </c>
      <c r="H54" s="3">
        <f>Foglio1!D54</f>
        <v>0.4938461538</v>
      </c>
      <c r="I54" s="1">
        <f>Foglio2!G54</f>
        <v>0.9807692308</v>
      </c>
      <c r="J54" s="3">
        <f t="shared" si="2"/>
        <v>0.5035294118</v>
      </c>
    </row>
    <row r="55" ht="14.25" customHeight="1">
      <c r="A55" s="1">
        <v>8969.0</v>
      </c>
      <c r="B55" s="3">
        <v>0.5792307692307693</v>
      </c>
      <c r="C55" s="1">
        <v>1.3636363636363638</v>
      </c>
      <c r="E55" s="4">
        <f t="shared" si="1"/>
        <v>0.4247692308</v>
      </c>
      <c r="F55" s="3"/>
      <c r="G55" s="1">
        <f>Foglio1!A55</f>
        <v>8867</v>
      </c>
      <c r="H55" s="3">
        <f>Foglio1!D55</f>
        <v>0.5353846154</v>
      </c>
      <c r="I55" s="1">
        <f>Foglio2!G55</f>
        <v>1.057692308</v>
      </c>
      <c r="J55" s="3">
        <f t="shared" si="2"/>
        <v>0.5061818182</v>
      </c>
    </row>
    <row r="56" ht="14.25" customHeight="1">
      <c r="A56" s="1">
        <v>9071.0</v>
      </c>
      <c r="B56" s="3">
        <v>0.6238461538461538</v>
      </c>
      <c r="C56" s="1">
        <v>1.4204545454545456</v>
      </c>
      <c r="E56" s="4">
        <f t="shared" si="1"/>
        <v>0.4391876923</v>
      </c>
      <c r="F56" s="3"/>
      <c r="G56" s="1">
        <f>Foglio1!A56</f>
        <v>8969</v>
      </c>
      <c r="H56" s="3">
        <f>Foglio1!D56</f>
        <v>0.5792307692</v>
      </c>
      <c r="I56" s="1">
        <f>Foglio2!G56</f>
        <v>1.153846154</v>
      </c>
      <c r="J56" s="3">
        <f t="shared" si="2"/>
        <v>0.502</v>
      </c>
    </row>
    <row r="57" ht="14.25" customHeight="1">
      <c r="A57" s="1">
        <v>9122.0</v>
      </c>
      <c r="B57" s="3">
        <v>0.6384615384615385</v>
      </c>
      <c r="C57" s="1">
        <v>1.4545454545454546</v>
      </c>
      <c r="E57" s="4">
        <f t="shared" si="1"/>
        <v>0.4389423077</v>
      </c>
      <c r="F57" s="3"/>
      <c r="G57" s="1">
        <f>Foglio1!A57</f>
        <v>9071</v>
      </c>
      <c r="H57" s="3">
        <f>Foglio1!D57</f>
        <v>0.6238461538</v>
      </c>
      <c r="I57" s="1">
        <f>Foglio2!G57</f>
        <v>1.201923077</v>
      </c>
      <c r="J57" s="3">
        <f t="shared" si="2"/>
        <v>0.51904</v>
      </c>
    </row>
    <row r="58" ht="14.25" customHeight="1">
      <c r="A58" s="1">
        <v>9173.0</v>
      </c>
      <c r="B58" s="3">
        <v>0.6653846153846155</v>
      </c>
      <c r="C58" s="1">
        <v>1.4772727272727275</v>
      </c>
      <c r="E58" s="4">
        <f t="shared" si="1"/>
        <v>0.4504142012</v>
      </c>
      <c r="F58" s="3"/>
      <c r="G58" s="1">
        <f>Foglio1!A58</f>
        <v>9122</v>
      </c>
      <c r="H58" s="3">
        <f>Foglio1!D58</f>
        <v>0.6384615385</v>
      </c>
      <c r="I58" s="1">
        <f>Foglio2!G58</f>
        <v>1.230769231</v>
      </c>
      <c r="J58" s="3">
        <f t="shared" si="2"/>
        <v>0.51875</v>
      </c>
    </row>
    <row r="59" ht="14.25" customHeight="1">
      <c r="A59" s="1">
        <v>9224.0</v>
      </c>
      <c r="B59" s="3">
        <v>0.6861538461538462</v>
      </c>
      <c r="C59" s="1">
        <v>1.5681818181818183</v>
      </c>
      <c r="E59" s="4">
        <f t="shared" si="1"/>
        <v>0.4375473802</v>
      </c>
      <c r="F59" s="3"/>
      <c r="G59" s="1">
        <f>Foglio1!A59</f>
        <v>9173</v>
      </c>
      <c r="H59" s="3">
        <f>Foglio1!D59</f>
        <v>0.6653846154</v>
      </c>
      <c r="I59" s="1">
        <f>Foglio2!G59</f>
        <v>1.25</v>
      </c>
      <c r="J59" s="3">
        <f t="shared" si="2"/>
        <v>0.5323076923</v>
      </c>
    </row>
    <row r="60" ht="14.25" customHeight="1">
      <c r="A60" s="1">
        <v>9275.0</v>
      </c>
      <c r="B60" s="3">
        <v>0.7038461538461539</v>
      </c>
      <c r="C60" s="1">
        <v>1.5454545454545456</v>
      </c>
      <c r="E60" s="4">
        <f t="shared" si="1"/>
        <v>0.4554298643</v>
      </c>
      <c r="F60" s="3"/>
      <c r="G60" s="1">
        <f>Foglio1!A60</f>
        <v>9224</v>
      </c>
      <c r="H60" s="3">
        <f>Foglio1!D60</f>
        <v>0.6861538462</v>
      </c>
      <c r="I60" s="1">
        <f>Foglio2!G60</f>
        <v>1.326923077</v>
      </c>
      <c r="J60" s="3">
        <f t="shared" si="2"/>
        <v>0.5171014493</v>
      </c>
    </row>
    <row r="61" ht="14.25" customHeight="1">
      <c r="A61" s="1">
        <v>9326.0</v>
      </c>
      <c r="B61" s="3">
        <v>0.7207692307692308</v>
      </c>
      <c r="C61" s="1">
        <v>1.590909090909091</v>
      </c>
      <c r="E61" s="4">
        <f t="shared" si="1"/>
        <v>0.4530549451</v>
      </c>
      <c r="F61" s="3"/>
      <c r="G61" s="1">
        <f>Foglio1!A61</f>
        <v>9275</v>
      </c>
      <c r="H61" s="3">
        <f>Foglio1!D61</f>
        <v>0.7038461538</v>
      </c>
      <c r="I61" s="1">
        <f>Foglio2!G61</f>
        <v>1.307692308</v>
      </c>
      <c r="J61" s="3">
        <f t="shared" si="2"/>
        <v>0.5382352941</v>
      </c>
    </row>
    <row r="62" ht="14.25" customHeight="1">
      <c r="A62" s="1">
        <v>9377.0</v>
      </c>
      <c r="B62" s="3">
        <v>0.7330769230769232</v>
      </c>
      <c r="C62" s="1">
        <v>1.6136363636363633</v>
      </c>
      <c r="E62" s="4">
        <f t="shared" si="1"/>
        <v>0.4543011918</v>
      </c>
      <c r="F62" s="3"/>
      <c r="G62" s="1">
        <f>Foglio1!A62</f>
        <v>9326</v>
      </c>
      <c r="H62" s="3">
        <f>Foglio1!D62</f>
        <v>0.7207692308</v>
      </c>
      <c r="I62" s="1">
        <f>Foglio2!G62</f>
        <v>1.346153846</v>
      </c>
      <c r="J62" s="3">
        <f t="shared" si="2"/>
        <v>0.5354285714</v>
      </c>
    </row>
    <row r="63" ht="14.25" customHeight="1">
      <c r="A63" s="1">
        <v>9428.0</v>
      </c>
      <c r="B63" s="3">
        <v>0.7461538461538462</v>
      </c>
      <c r="C63" s="1">
        <v>1.590909090909091</v>
      </c>
      <c r="E63" s="4">
        <f t="shared" si="1"/>
        <v>0.469010989</v>
      </c>
      <c r="F63" s="3"/>
      <c r="G63" s="1">
        <f>Foglio1!A63</f>
        <v>9377</v>
      </c>
      <c r="H63" s="3">
        <f>Foglio1!D63</f>
        <v>0.7330769231</v>
      </c>
      <c r="I63" s="1">
        <f>Foglio2!G63</f>
        <v>1.365384615</v>
      </c>
      <c r="J63" s="3">
        <f t="shared" si="2"/>
        <v>0.5369014085</v>
      </c>
    </row>
    <row r="64" ht="14.25" customHeight="1">
      <c r="A64" s="1">
        <v>9479.0</v>
      </c>
      <c r="B64" s="3">
        <v>0.7592307692307693</v>
      </c>
      <c r="C64" s="1">
        <v>1.6363636363636365</v>
      </c>
      <c r="E64" s="4">
        <f t="shared" si="1"/>
        <v>0.463974359</v>
      </c>
      <c r="F64" s="3"/>
      <c r="G64" s="1">
        <f>Foglio1!A64</f>
        <v>9428</v>
      </c>
      <c r="H64" s="3">
        <f>Foglio1!D64</f>
        <v>0.7461538462</v>
      </c>
      <c r="I64" s="1">
        <f>Foglio2!G64</f>
        <v>1.346153846</v>
      </c>
      <c r="J64" s="3">
        <f t="shared" si="2"/>
        <v>0.5542857143</v>
      </c>
    </row>
    <row r="65" ht="14.25" customHeight="1">
      <c r="A65" s="1">
        <v>9530.0</v>
      </c>
      <c r="B65" s="3">
        <v>0.7692307692307694</v>
      </c>
      <c r="C65" s="1">
        <v>1.6590909090909092</v>
      </c>
      <c r="E65" s="4">
        <f t="shared" si="1"/>
        <v>0.4636459431</v>
      </c>
      <c r="F65" s="3"/>
      <c r="G65" s="1">
        <f>Foglio1!A65</f>
        <v>9479</v>
      </c>
      <c r="H65" s="3">
        <f>Foglio1!D65</f>
        <v>0.7592307692</v>
      </c>
      <c r="I65" s="1">
        <f>Foglio2!G65</f>
        <v>1.384615385</v>
      </c>
      <c r="J65" s="3">
        <f t="shared" si="2"/>
        <v>0.5483333333</v>
      </c>
    </row>
    <row r="66" ht="14.25" customHeight="1">
      <c r="A66" s="1">
        <v>9581.0</v>
      </c>
      <c r="B66" s="3">
        <v>0.7853846153846155</v>
      </c>
      <c r="C66" s="1">
        <v>1.6704545454545454</v>
      </c>
      <c r="E66" s="4">
        <f t="shared" si="1"/>
        <v>0.4701622187</v>
      </c>
      <c r="F66" s="3"/>
      <c r="G66" s="1">
        <f>Foglio1!A66</f>
        <v>9530</v>
      </c>
      <c r="H66" s="3">
        <f>Foglio1!D66</f>
        <v>0.7692307692</v>
      </c>
      <c r="I66" s="1">
        <f>Foglio2!G66</f>
        <v>1.403846154</v>
      </c>
      <c r="J66" s="3">
        <f t="shared" si="2"/>
        <v>0.5479452055</v>
      </c>
    </row>
    <row r="67" ht="14.25" customHeight="1">
      <c r="A67" s="1">
        <v>9632.0</v>
      </c>
      <c r="B67" s="3">
        <v>0.8684615384615385</v>
      </c>
      <c r="C67" s="1">
        <v>1.840909090909091</v>
      </c>
      <c r="E67" s="4">
        <f t="shared" si="1"/>
        <v>0.4717568851</v>
      </c>
      <c r="F67" s="3"/>
      <c r="G67" s="1">
        <f>Foglio1!A67</f>
        <v>9581</v>
      </c>
      <c r="H67" s="3">
        <f>Foglio1!D67</f>
        <v>0.7853846154</v>
      </c>
      <c r="I67" s="1">
        <f>Foglio2!G67</f>
        <v>1.413461538</v>
      </c>
      <c r="J67" s="3">
        <f t="shared" si="2"/>
        <v>0.5556462585</v>
      </c>
    </row>
    <row r="68" ht="14.25" customHeight="1">
      <c r="A68" s="1">
        <v>9683.0</v>
      </c>
      <c r="B68" s="3">
        <v>1.0492307692307692</v>
      </c>
      <c r="C68" s="1">
        <v>2.2272727272727275</v>
      </c>
      <c r="E68" s="4">
        <f t="shared" si="1"/>
        <v>0.4710832025</v>
      </c>
      <c r="F68" s="3"/>
      <c r="G68" s="1">
        <f>Foglio1!A68</f>
        <v>9632</v>
      </c>
      <c r="H68" s="3">
        <f>Foglio1!D68</f>
        <v>0.8684615385</v>
      </c>
      <c r="I68" s="1">
        <f>Foglio2!G68</f>
        <v>1.557692308</v>
      </c>
      <c r="J68" s="3">
        <f t="shared" si="2"/>
        <v>0.5575308642</v>
      </c>
    </row>
    <row r="69" ht="14.25" customHeight="1">
      <c r="A69" s="1">
        <v>9734.0</v>
      </c>
      <c r="B69" s="3">
        <v>1.2984615384615386</v>
      </c>
      <c r="C69" s="1">
        <v>2.75</v>
      </c>
      <c r="E69" s="4">
        <f t="shared" si="1"/>
        <v>0.4721678322</v>
      </c>
      <c r="F69" s="3"/>
      <c r="G69" s="1">
        <f>Foglio1!A69</f>
        <v>9683</v>
      </c>
      <c r="H69" s="3">
        <f>Foglio1!D69</f>
        <v>1.049230769</v>
      </c>
      <c r="I69" s="1">
        <f>Foglio2!G69</f>
        <v>1.884615385</v>
      </c>
      <c r="J69" s="3">
        <f t="shared" si="2"/>
        <v>0.5567346939</v>
      </c>
    </row>
    <row r="70" ht="14.25" customHeight="1">
      <c r="A70" s="1">
        <v>9785.0</v>
      </c>
      <c r="B70" s="3">
        <v>1.4415384615384617</v>
      </c>
      <c r="C70" s="1">
        <v>3.0454545454545454</v>
      </c>
      <c r="E70" s="4">
        <f t="shared" si="1"/>
        <v>0.4733409874</v>
      </c>
      <c r="F70" s="3"/>
      <c r="G70" s="1">
        <f>Foglio1!A70</f>
        <v>9734</v>
      </c>
      <c r="H70" s="3">
        <f>Foglio1!D70</f>
        <v>1.298461538</v>
      </c>
      <c r="I70" s="1">
        <f>Foglio2!G70</f>
        <v>2.326923077</v>
      </c>
      <c r="J70" s="3">
        <f t="shared" si="2"/>
        <v>0.5580165289</v>
      </c>
    </row>
    <row r="71" ht="14.25" customHeight="1">
      <c r="A71" s="1">
        <v>9836.0</v>
      </c>
      <c r="B71" s="3">
        <v>1.3738461538461542</v>
      </c>
      <c r="C71" s="1">
        <v>2.8863636363636362</v>
      </c>
      <c r="E71" s="4">
        <f t="shared" si="1"/>
        <v>0.475978195</v>
      </c>
      <c r="F71" s="3"/>
      <c r="G71" s="1">
        <f>Foglio1!A71</f>
        <v>9785</v>
      </c>
      <c r="H71" s="3">
        <f>Foglio1!D71</f>
        <v>1.441538462</v>
      </c>
      <c r="I71" s="1">
        <f>Foglio2!G71</f>
        <v>2.576923077</v>
      </c>
      <c r="J71" s="3">
        <f t="shared" si="2"/>
        <v>0.5594029851</v>
      </c>
    </row>
    <row r="72" ht="14.25" customHeight="1">
      <c r="A72" s="1">
        <v>9887.0</v>
      </c>
      <c r="B72" s="3">
        <v>1.216923076923077</v>
      </c>
      <c r="C72" s="1">
        <v>2.5681818181818183</v>
      </c>
      <c r="E72" s="4">
        <f t="shared" si="1"/>
        <v>0.4738461538</v>
      </c>
      <c r="F72" s="3"/>
      <c r="G72" s="1">
        <f>Foglio1!A72</f>
        <v>9836</v>
      </c>
      <c r="H72" s="3">
        <f>Foglio1!D72</f>
        <v>1.373846154</v>
      </c>
      <c r="I72" s="1">
        <f>Foglio2!G72</f>
        <v>2.442307692</v>
      </c>
      <c r="J72" s="3">
        <f t="shared" si="2"/>
        <v>0.562519685</v>
      </c>
    </row>
    <row r="73" ht="14.25" customHeight="1">
      <c r="A73" s="1">
        <v>9938.0</v>
      </c>
      <c r="B73" s="3">
        <v>1.0846153846153848</v>
      </c>
      <c r="C73" s="1">
        <v>2.340909090909091</v>
      </c>
      <c r="E73" s="4">
        <f t="shared" si="1"/>
        <v>0.4633308439</v>
      </c>
      <c r="F73" s="3"/>
      <c r="G73" s="1">
        <f>Foglio1!A73</f>
        <v>9887</v>
      </c>
      <c r="H73" s="3">
        <f>Foglio1!D73</f>
        <v>1.216923077</v>
      </c>
      <c r="I73" s="1">
        <f>Foglio2!G73</f>
        <v>2.173076923</v>
      </c>
      <c r="J73" s="3">
        <f t="shared" si="2"/>
        <v>0.56</v>
      </c>
    </row>
    <row r="74" ht="14.25" customHeight="1">
      <c r="A74" s="1">
        <v>9989.0</v>
      </c>
      <c r="B74" s="3">
        <v>0.9915384615384616</v>
      </c>
      <c r="C74" s="1">
        <v>2.181818181818182</v>
      </c>
      <c r="E74" s="4">
        <f t="shared" si="1"/>
        <v>0.4544551282</v>
      </c>
      <c r="F74" s="3"/>
      <c r="G74" s="1">
        <f>Foglio1!A74</f>
        <v>9938</v>
      </c>
      <c r="H74" s="3">
        <f>Foglio1!D74</f>
        <v>1.084615385</v>
      </c>
      <c r="I74" s="1">
        <f>Foglio2!G74</f>
        <v>1.980769231</v>
      </c>
      <c r="J74" s="3">
        <f t="shared" si="2"/>
        <v>0.5475728155</v>
      </c>
    </row>
    <row r="75" ht="14.25" customHeight="1">
      <c r="A75" s="1">
        <v>10040.0</v>
      </c>
      <c r="B75" s="3">
        <v>0.926923076923077</v>
      </c>
      <c r="C75" s="1">
        <v>2.090909090909091</v>
      </c>
      <c r="E75" s="4">
        <f t="shared" si="1"/>
        <v>0.4433110368</v>
      </c>
      <c r="F75" s="3"/>
      <c r="G75" s="1">
        <f>Foglio1!A75</f>
        <v>9989</v>
      </c>
      <c r="H75" s="3">
        <f>Foglio1!D75</f>
        <v>0.9915384615</v>
      </c>
      <c r="I75" s="1">
        <f>Foglio2!G75</f>
        <v>1.846153846</v>
      </c>
      <c r="J75" s="3">
        <f t="shared" si="2"/>
        <v>0.5370833333</v>
      </c>
    </row>
    <row r="76" ht="14.25" customHeight="1">
      <c r="A76" s="1">
        <v>10091.0</v>
      </c>
      <c r="B76" s="3">
        <v>0.8753846153846154</v>
      </c>
      <c r="C76" s="1">
        <v>2.0</v>
      </c>
      <c r="E76" s="4">
        <f t="shared" si="1"/>
        <v>0.4376923077</v>
      </c>
      <c r="F76" s="3"/>
      <c r="G76" s="1">
        <f>Foglio1!A76</f>
        <v>10040</v>
      </c>
      <c r="H76" s="3">
        <f>Foglio1!D76</f>
        <v>0.9269230769</v>
      </c>
      <c r="I76" s="1">
        <f>Foglio2!G76</f>
        <v>1.769230769</v>
      </c>
      <c r="J76" s="3">
        <f t="shared" si="2"/>
        <v>0.5239130435</v>
      </c>
    </row>
    <row r="77" ht="14.25" customHeight="1">
      <c r="A77" s="1">
        <v>10142.0</v>
      </c>
      <c r="B77" s="3">
        <v>0.8284615384615386</v>
      </c>
      <c r="C77" s="1">
        <v>1.9545454545454546</v>
      </c>
      <c r="E77" s="4">
        <f t="shared" si="1"/>
        <v>0.4238640429</v>
      </c>
      <c r="F77" s="3"/>
      <c r="G77" s="1">
        <f>Foglio1!A77</f>
        <v>10091</v>
      </c>
      <c r="H77" s="3">
        <f>Foglio1!D77</f>
        <v>0.8753846154</v>
      </c>
      <c r="I77" s="1">
        <f>Foglio2!G77</f>
        <v>1.692307692</v>
      </c>
      <c r="J77" s="3">
        <f t="shared" si="2"/>
        <v>0.5172727273</v>
      </c>
    </row>
    <row r="78" ht="14.25" customHeight="1">
      <c r="A78" s="1">
        <v>10193.0</v>
      </c>
      <c r="B78" s="3">
        <v>0.7807692307692308</v>
      </c>
      <c r="C78" s="1">
        <v>1.9318181818181819</v>
      </c>
      <c r="E78" s="4">
        <f t="shared" si="1"/>
        <v>0.4041628959</v>
      </c>
      <c r="F78" s="3"/>
      <c r="G78" s="1">
        <f>Foglio1!A78</f>
        <v>10142</v>
      </c>
      <c r="H78" s="3">
        <f>Foglio1!D78</f>
        <v>0.8284615385</v>
      </c>
      <c r="I78" s="1">
        <f>Foglio2!G78</f>
        <v>1.653846154</v>
      </c>
      <c r="J78" s="3">
        <f t="shared" si="2"/>
        <v>0.5009302326</v>
      </c>
    </row>
    <row r="79" ht="14.25" customHeight="1">
      <c r="A79" s="1">
        <v>10244.0</v>
      </c>
      <c r="B79" s="3">
        <v>0.7330769230769232</v>
      </c>
      <c r="C79" s="1">
        <v>1.9090909090909092</v>
      </c>
      <c r="E79" s="4">
        <f t="shared" si="1"/>
        <v>0.383992674</v>
      </c>
      <c r="F79" s="3"/>
      <c r="G79" s="1">
        <f>Foglio1!A79</f>
        <v>10193</v>
      </c>
      <c r="H79" s="3">
        <f>Foglio1!D79</f>
        <v>0.7807692308</v>
      </c>
      <c r="I79" s="1">
        <f>Foglio2!G79</f>
        <v>1.634615385</v>
      </c>
      <c r="J79" s="3">
        <f t="shared" si="2"/>
        <v>0.4776470588</v>
      </c>
    </row>
    <row r="80" ht="14.25" customHeight="1">
      <c r="A80" s="1">
        <v>10295.0</v>
      </c>
      <c r="B80" s="3">
        <v>0.6846153846153846</v>
      </c>
      <c r="C80" s="1">
        <v>1.8863636363636367</v>
      </c>
      <c r="E80" s="4">
        <f t="shared" si="1"/>
        <v>0.3629286376</v>
      </c>
      <c r="F80" s="3"/>
      <c r="G80" s="1">
        <f>Foglio1!A80</f>
        <v>10244</v>
      </c>
      <c r="H80" s="3">
        <f>Foglio1!D80</f>
        <v>0.7330769231</v>
      </c>
      <c r="I80" s="1">
        <f>Foglio2!G80</f>
        <v>1.615384615</v>
      </c>
      <c r="J80" s="3">
        <f t="shared" si="2"/>
        <v>0.4538095238</v>
      </c>
    </row>
    <row r="81" ht="14.25" customHeight="1">
      <c r="A81" s="1">
        <v>10346.0</v>
      </c>
      <c r="B81" s="3">
        <v>0.6307692307692309</v>
      </c>
      <c r="C81" s="1">
        <v>1.8636363636363638</v>
      </c>
      <c r="E81" s="4">
        <f t="shared" si="1"/>
        <v>0.3384615385</v>
      </c>
      <c r="F81" s="3"/>
      <c r="G81" s="1">
        <f>Foglio1!A81</f>
        <v>10295</v>
      </c>
      <c r="H81" s="3">
        <f>Foglio1!D81</f>
        <v>0.6846153846</v>
      </c>
      <c r="I81" s="1">
        <f>Foglio2!G81</f>
        <v>1.596153846</v>
      </c>
      <c r="J81" s="3">
        <f t="shared" si="2"/>
        <v>0.4289156627</v>
      </c>
    </row>
    <row r="82" ht="14.25" customHeight="1">
      <c r="A82" s="1">
        <v>10397.0</v>
      </c>
      <c r="B82" s="3">
        <v>0.5746153846153846</v>
      </c>
      <c r="C82" s="1">
        <v>1.8522727272727275</v>
      </c>
      <c r="E82" s="4">
        <f t="shared" si="1"/>
        <v>0.3102218027</v>
      </c>
      <c r="F82" s="3"/>
      <c r="G82" s="1">
        <f>Foglio1!A82</f>
        <v>10346</v>
      </c>
      <c r="H82" s="3">
        <f>Foglio1!D82</f>
        <v>0.6307692308</v>
      </c>
      <c r="I82" s="1">
        <f>Foglio2!G82</f>
        <v>1.576923077</v>
      </c>
      <c r="J82" s="3">
        <f t="shared" si="2"/>
        <v>0.4</v>
      </c>
    </row>
    <row r="83" ht="14.25" customHeight="1">
      <c r="A83" s="1">
        <v>10448.0</v>
      </c>
      <c r="B83" s="3">
        <v>0.5207692307692309</v>
      </c>
      <c r="C83" s="1">
        <v>1.840909090909091</v>
      </c>
      <c r="E83" s="4">
        <f t="shared" si="1"/>
        <v>0.2828869896</v>
      </c>
      <c r="F83" s="3"/>
      <c r="G83" s="1">
        <f>Foglio1!A83</f>
        <v>10397</v>
      </c>
      <c r="H83" s="3">
        <f>Foglio1!D83</f>
        <v>0.5746153846</v>
      </c>
      <c r="I83" s="1">
        <f>Foglio2!G83</f>
        <v>1.567307692</v>
      </c>
      <c r="J83" s="3">
        <f t="shared" si="2"/>
        <v>0.3666257669</v>
      </c>
    </row>
    <row r="84" ht="14.25" customHeight="1">
      <c r="A84" s="1">
        <v>10499.0</v>
      </c>
      <c r="B84" s="3">
        <v>0.4653846153846154</v>
      </c>
      <c r="C84" s="1">
        <v>1.8181818181818183</v>
      </c>
      <c r="E84" s="4">
        <f t="shared" si="1"/>
        <v>0.2559615385</v>
      </c>
      <c r="F84" s="3"/>
      <c r="G84" s="1">
        <f>Foglio1!A84</f>
        <v>10448</v>
      </c>
      <c r="H84" s="3">
        <f>Foglio1!D84</f>
        <v>0.5207692308</v>
      </c>
      <c r="I84" s="1">
        <f>Foglio2!G84</f>
        <v>1.557692308</v>
      </c>
      <c r="J84" s="3">
        <f t="shared" si="2"/>
        <v>0.3343209877</v>
      </c>
    </row>
    <row r="85" ht="14.25" customHeight="1">
      <c r="A85" s="1">
        <v>10550.0</v>
      </c>
      <c r="B85" s="3">
        <v>0.4253846153846154</v>
      </c>
      <c r="C85" s="1">
        <v>1.840909090909091</v>
      </c>
      <c r="E85" s="4">
        <f t="shared" si="1"/>
        <v>0.2310731244</v>
      </c>
      <c r="F85" s="3"/>
      <c r="G85" s="1">
        <f>Foglio1!A85</f>
        <v>10499</v>
      </c>
      <c r="H85" s="3">
        <f>Foglio1!D85</f>
        <v>0.4653846154</v>
      </c>
      <c r="I85" s="1">
        <f>Foglio2!G85</f>
        <v>1.538461538</v>
      </c>
      <c r="J85" s="3">
        <f t="shared" si="2"/>
        <v>0.3025</v>
      </c>
    </row>
    <row r="86" ht="14.25" customHeight="1">
      <c r="A86" s="1">
        <v>10601.0</v>
      </c>
      <c r="B86" s="3">
        <v>0.3584615384615385</v>
      </c>
      <c r="C86" s="1">
        <v>1.7954545454545454</v>
      </c>
      <c r="E86" s="4">
        <f t="shared" si="1"/>
        <v>0.1996494645</v>
      </c>
      <c r="F86" s="3"/>
      <c r="G86" s="1">
        <f>Foglio1!A86</f>
        <v>10550</v>
      </c>
      <c r="H86" s="3">
        <f>Foglio1!D86</f>
        <v>0.4253846154</v>
      </c>
      <c r="I86" s="1">
        <f>Foglio2!G86</f>
        <v>1.557692308</v>
      </c>
      <c r="J86" s="3">
        <f t="shared" si="2"/>
        <v>0.2730864198</v>
      </c>
    </row>
    <row r="87" ht="14.25" customHeight="1">
      <c r="A87" s="1">
        <v>10652.0</v>
      </c>
      <c r="B87" s="3">
        <v>0.3107692307692308</v>
      </c>
      <c r="C87" s="1">
        <v>1.7613636363636365</v>
      </c>
      <c r="E87" s="4">
        <f t="shared" si="1"/>
        <v>0.1764367246</v>
      </c>
      <c r="F87" s="3"/>
      <c r="G87" s="1">
        <f>Foglio1!A87</f>
        <v>10601</v>
      </c>
      <c r="H87" s="3">
        <f>Foglio1!D87</f>
        <v>0.3584615385</v>
      </c>
      <c r="I87" s="1">
        <f>Foglio2!G87</f>
        <v>1.519230769</v>
      </c>
      <c r="J87" s="3">
        <f t="shared" si="2"/>
        <v>0.2359493671</v>
      </c>
    </row>
    <row r="88" ht="14.25" customHeight="1">
      <c r="A88" s="1">
        <v>10703.0</v>
      </c>
      <c r="B88" s="3">
        <v>0.2753846153846154</v>
      </c>
      <c r="C88" s="1">
        <v>1.7727272727272727</v>
      </c>
      <c r="E88" s="4">
        <f t="shared" si="1"/>
        <v>0.1553451677</v>
      </c>
      <c r="F88" s="3"/>
      <c r="G88" s="1">
        <f>Foglio1!A88</f>
        <v>10652</v>
      </c>
      <c r="H88" s="3">
        <f>Foglio1!D88</f>
        <v>0.3107692308</v>
      </c>
      <c r="I88" s="1">
        <f>Foglio2!G88</f>
        <v>1.490384615</v>
      </c>
      <c r="J88" s="3">
        <f t="shared" si="2"/>
        <v>0.208516129</v>
      </c>
    </row>
    <row r="89" ht="14.25" customHeight="1">
      <c r="A89" s="1">
        <v>10754.0</v>
      </c>
      <c r="B89" s="3">
        <v>0.24384615384615388</v>
      </c>
      <c r="C89" s="1">
        <v>1.7045454545454544</v>
      </c>
      <c r="E89" s="4">
        <f t="shared" si="1"/>
        <v>0.1430564103</v>
      </c>
      <c r="F89" s="3"/>
      <c r="G89" s="1">
        <f>Foglio1!A89</f>
        <v>10703</v>
      </c>
      <c r="H89" s="3">
        <f>Foglio1!D89</f>
        <v>0.2753846154</v>
      </c>
      <c r="I89" s="1">
        <f>Foglio2!G89</f>
        <v>1.5</v>
      </c>
      <c r="J89" s="3">
        <f t="shared" si="2"/>
        <v>0.1835897436</v>
      </c>
    </row>
    <row r="90" ht="14.25" customHeight="1">
      <c r="A90" s="1">
        <v>10805.0</v>
      </c>
      <c r="B90" s="3">
        <v>0.2161538461538462</v>
      </c>
      <c r="C90" s="1">
        <v>1.75</v>
      </c>
      <c r="E90" s="4">
        <f t="shared" si="1"/>
        <v>0.1235164835</v>
      </c>
      <c r="F90" s="3"/>
      <c r="G90" s="1">
        <f>Foglio1!A90</f>
        <v>10754</v>
      </c>
      <c r="H90" s="3">
        <f>Foglio1!D90</f>
        <v>0.2438461538</v>
      </c>
      <c r="I90" s="1">
        <f>Foglio2!G90</f>
        <v>1.442307692</v>
      </c>
      <c r="J90" s="3">
        <f t="shared" si="2"/>
        <v>0.1690666667</v>
      </c>
    </row>
    <row r="91" ht="14.25" customHeight="1">
      <c r="A91" s="1">
        <v>10856.0</v>
      </c>
      <c r="B91" s="3">
        <v>0.19153846153846155</v>
      </c>
      <c r="C91" s="1">
        <v>1.7386363636363638</v>
      </c>
      <c r="E91" s="4">
        <f t="shared" si="1"/>
        <v>0.1101659125</v>
      </c>
      <c r="F91" s="3"/>
      <c r="G91" s="1">
        <f>Foglio1!A91</f>
        <v>10805</v>
      </c>
      <c r="H91" s="3">
        <f>Foglio1!D91</f>
        <v>0.2161538462</v>
      </c>
      <c r="I91" s="1">
        <f>Foglio2!G91</f>
        <v>1.480769231</v>
      </c>
      <c r="J91" s="3">
        <f t="shared" si="2"/>
        <v>0.145974026</v>
      </c>
    </row>
    <row r="92" ht="14.25" customHeight="1">
      <c r="A92" s="1">
        <v>10907.0</v>
      </c>
      <c r="B92" s="3">
        <v>0.16769230769230772</v>
      </c>
      <c r="C92" s="1">
        <v>1.7272727272727273</v>
      </c>
      <c r="E92" s="4">
        <f t="shared" si="1"/>
        <v>0.09708502024</v>
      </c>
      <c r="F92" s="3"/>
      <c r="G92" s="1">
        <f>Foglio1!A92</f>
        <v>10856</v>
      </c>
      <c r="H92" s="3">
        <f>Foglio1!D92</f>
        <v>0.1915384615</v>
      </c>
      <c r="I92" s="1">
        <f>Foglio2!G92</f>
        <v>1.471153846</v>
      </c>
      <c r="J92" s="3">
        <f t="shared" si="2"/>
        <v>0.1301960784</v>
      </c>
    </row>
    <row r="93" ht="14.25" customHeight="1">
      <c r="A93" s="1">
        <v>10958.0</v>
      </c>
      <c r="B93" s="3">
        <v>0.14615384615384616</v>
      </c>
      <c r="C93" s="1">
        <v>1.7159090909090913</v>
      </c>
      <c r="E93" s="4">
        <f t="shared" si="1"/>
        <v>0.0851757514</v>
      </c>
      <c r="F93" s="3"/>
      <c r="G93" s="1">
        <f>Foglio1!A93</f>
        <v>10907</v>
      </c>
      <c r="H93" s="3">
        <f>Foglio1!D93</f>
        <v>0.1676923077</v>
      </c>
      <c r="I93" s="1">
        <f>Foglio2!G93</f>
        <v>1.461538462</v>
      </c>
      <c r="J93" s="3">
        <f t="shared" si="2"/>
        <v>0.1147368421</v>
      </c>
    </row>
    <row r="94" ht="14.25" customHeight="1">
      <c r="A94" s="1">
        <v>11009.0</v>
      </c>
      <c r="B94" s="3">
        <v>0.12692307692307694</v>
      </c>
      <c r="C94" s="1">
        <v>1.7045454545454544</v>
      </c>
      <c r="E94" s="4">
        <f t="shared" si="1"/>
        <v>0.07446153846</v>
      </c>
      <c r="F94" s="3"/>
      <c r="G94" s="1">
        <f>Foglio1!A94</f>
        <v>10958</v>
      </c>
      <c r="H94" s="3">
        <f>Foglio1!D94</f>
        <v>0.1461538462</v>
      </c>
      <c r="I94" s="1">
        <f>Foglio2!G94</f>
        <v>1.451923077</v>
      </c>
      <c r="J94" s="3">
        <f t="shared" si="2"/>
        <v>0.1006622517</v>
      </c>
    </row>
    <row r="95" ht="14.25" customHeight="1">
      <c r="A95" s="1">
        <v>11060.0</v>
      </c>
      <c r="B95" s="3">
        <v>0.11153846153846153</v>
      </c>
      <c r="C95" s="1">
        <v>1.6931818181818181</v>
      </c>
      <c r="E95" s="4">
        <f t="shared" si="1"/>
        <v>0.06587506453</v>
      </c>
      <c r="F95" s="3"/>
      <c r="G95" s="1">
        <f>Foglio1!A95</f>
        <v>11009</v>
      </c>
      <c r="H95" s="3">
        <f>Foglio1!D95</f>
        <v>0.1269230769</v>
      </c>
      <c r="I95" s="1">
        <f>Foglio2!G95</f>
        <v>1.442307692</v>
      </c>
      <c r="J95" s="3">
        <f t="shared" si="2"/>
        <v>0.088</v>
      </c>
    </row>
    <row r="96" ht="14.25" customHeight="1">
      <c r="A96" s="1">
        <v>11111.0</v>
      </c>
      <c r="B96" s="3">
        <v>0.09615384615384617</v>
      </c>
      <c r="C96" s="1">
        <v>1.6818181818181817</v>
      </c>
      <c r="E96" s="4">
        <f t="shared" si="1"/>
        <v>0.05717255717</v>
      </c>
      <c r="F96" s="3"/>
      <c r="G96" s="1">
        <f>Foglio1!A96</f>
        <v>11060</v>
      </c>
      <c r="H96" s="3">
        <f>Foglio1!D96</f>
        <v>0.1115384615</v>
      </c>
      <c r="I96" s="1">
        <f>Foglio2!G96</f>
        <v>1.432692308</v>
      </c>
      <c r="J96" s="3">
        <f t="shared" si="2"/>
        <v>0.07785234899</v>
      </c>
    </row>
    <row r="97" ht="14.25" customHeight="1">
      <c r="A97" s="1">
        <v>11162.0</v>
      </c>
      <c r="B97" s="3">
        <v>0.0823076923076923</v>
      </c>
      <c r="C97" s="1">
        <v>1.7045454545454544</v>
      </c>
      <c r="E97" s="4">
        <f t="shared" si="1"/>
        <v>0.04828717949</v>
      </c>
      <c r="F97" s="3"/>
      <c r="G97" s="1">
        <f>Foglio1!A97</f>
        <v>11111</v>
      </c>
      <c r="H97" s="3">
        <f>Foglio1!D97</f>
        <v>0.09615384615</v>
      </c>
      <c r="I97" s="1">
        <f>Foglio2!G97</f>
        <v>1.423076923</v>
      </c>
      <c r="J97" s="3">
        <f t="shared" si="2"/>
        <v>0.06756756757</v>
      </c>
    </row>
    <row r="98" ht="14.25" customHeight="1">
      <c r="A98" s="1">
        <v>11213.0</v>
      </c>
      <c r="B98" s="3">
        <v>0.06923076923076923</v>
      </c>
      <c r="C98" s="1">
        <v>1.6590909090909092</v>
      </c>
      <c r="E98" s="4">
        <f t="shared" si="1"/>
        <v>0.04172813488</v>
      </c>
      <c r="F98" s="3"/>
      <c r="G98" s="1">
        <f>Foglio1!A98</f>
        <v>11162</v>
      </c>
      <c r="H98" s="3">
        <f>Foglio1!D98</f>
        <v>0.08230769231</v>
      </c>
      <c r="I98" s="1">
        <f>Foglio2!G98</f>
        <v>1.442307692</v>
      </c>
      <c r="J98" s="3">
        <f t="shared" si="2"/>
        <v>0.05706666667</v>
      </c>
    </row>
    <row r="99" ht="14.25" customHeight="1">
      <c r="A99" s="1">
        <v>11264.0</v>
      </c>
      <c r="B99" s="3">
        <v>0.05923076923076923</v>
      </c>
      <c r="C99" s="1">
        <v>1.6363636363636365</v>
      </c>
      <c r="E99" s="4">
        <f t="shared" si="1"/>
        <v>0.0361965812</v>
      </c>
      <c r="F99" s="3"/>
      <c r="G99" s="1">
        <f>Foglio1!A99</f>
        <v>11213</v>
      </c>
      <c r="H99" s="3">
        <f>Foglio1!D99</f>
        <v>0.06923076923</v>
      </c>
      <c r="I99" s="1">
        <f>Foglio2!G99</f>
        <v>1.403846154</v>
      </c>
      <c r="J99" s="3">
        <f t="shared" si="2"/>
        <v>0.04931506849</v>
      </c>
    </row>
    <row r="100" ht="14.25" customHeight="1">
      <c r="A100" s="1">
        <v>11315.0</v>
      </c>
      <c r="B100" s="3">
        <v>0.048461538461538466</v>
      </c>
      <c r="C100" s="1">
        <v>1.6249999999999998</v>
      </c>
      <c r="E100" s="4">
        <f t="shared" si="1"/>
        <v>0.02982248521</v>
      </c>
      <c r="F100" s="3"/>
      <c r="G100" s="1">
        <f>Foglio1!A100</f>
        <v>11264</v>
      </c>
      <c r="H100" s="3">
        <f>Foglio1!D100</f>
        <v>0.05923076923</v>
      </c>
      <c r="I100" s="1">
        <f>Foglio2!G100</f>
        <v>1.384615385</v>
      </c>
      <c r="J100" s="3">
        <f t="shared" si="2"/>
        <v>0.04277777778</v>
      </c>
    </row>
    <row r="101" ht="14.25" customHeight="1">
      <c r="A101" s="1">
        <v>11366.0</v>
      </c>
      <c r="B101" s="3">
        <v>0.04</v>
      </c>
      <c r="C101" s="1">
        <v>1.6249999999999998</v>
      </c>
      <c r="E101" s="4">
        <f t="shared" si="1"/>
        <v>0.02461538462</v>
      </c>
      <c r="F101" s="3"/>
      <c r="G101" s="1">
        <f>Foglio1!A101</f>
        <v>11315</v>
      </c>
      <c r="H101" s="3">
        <f>Foglio1!D101</f>
        <v>0.04846153846</v>
      </c>
      <c r="I101" s="1">
        <f>Foglio2!G101</f>
        <v>1.375</v>
      </c>
      <c r="J101" s="3">
        <f t="shared" si="2"/>
        <v>0.03524475524</v>
      </c>
    </row>
    <row r="102" ht="14.25" customHeight="1">
      <c r="A102" s="1">
        <v>11417.0</v>
      </c>
      <c r="B102" s="3">
        <v>0.03230769230769231</v>
      </c>
      <c r="C102" s="1">
        <v>1.6249999999999998</v>
      </c>
      <c r="E102" s="4">
        <f t="shared" si="1"/>
        <v>0.0198816568</v>
      </c>
      <c r="F102" s="3"/>
      <c r="G102" s="1">
        <f>Foglio1!A102</f>
        <v>11366</v>
      </c>
      <c r="H102" s="3">
        <f>Foglio1!D102</f>
        <v>0.04</v>
      </c>
      <c r="I102" s="1">
        <f>Foglio2!G102</f>
        <v>1.375</v>
      </c>
      <c r="J102" s="3">
        <f t="shared" si="2"/>
        <v>0.02909090909</v>
      </c>
    </row>
    <row r="103" ht="14.25" customHeight="1">
      <c r="A103" s="1">
        <v>11468.0</v>
      </c>
      <c r="B103" s="3">
        <v>0.026153846153846156</v>
      </c>
      <c r="C103" s="1">
        <v>1.6136363636363633</v>
      </c>
      <c r="E103" s="4">
        <f t="shared" si="1"/>
        <v>0.01620801733</v>
      </c>
      <c r="F103" s="3"/>
      <c r="G103" s="1">
        <f>Foglio1!A103</f>
        <v>11417</v>
      </c>
      <c r="H103" s="3">
        <f>Foglio1!D103</f>
        <v>0.03230769231</v>
      </c>
      <c r="I103" s="1">
        <f>Foglio2!G103</f>
        <v>1.375</v>
      </c>
      <c r="J103" s="3">
        <f t="shared" si="2"/>
        <v>0.0234965035</v>
      </c>
    </row>
    <row r="104" ht="14.25" customHeight="1">
      <c r="A104" s="1">
        <v>11519.0</v>
      </c>
      <c r="B104" s="3">
        <v>0.019230769230769232</v>
      </c>
      <c r="C104" s="1">
        <v>1.590909090909091</v>
      </c>
      <c r="E104" s="4">
        <f t="shared" si="1"/>
        <v>0.01208791209</v>
      </c>
      <c r="F104" s="3"/>
      <c r="G104" s="1">
        <f>Foglio1!A104</f>
        <v>11468</v>
      </c>
      <c r="H104" s="3">
        <f>Foglio1!D104</f>
        <v>0.02615384615</v>
      </c>
      <c r="I104" s="1">
        <f>Foglio2!G104</f>
        <v>1.365384615</v>
      </c>
      <c r="J104" s="3">
        <f t="shared" si="2"/>
        <v>0.01915492958</v>
      </c>
    </row>
    <row r="105" ht="14.25" customHeight="1">
      <c r="A105" s="1">
        <v>11570.0</v>
      </c>
      <c r="B105" s="3">
        <v>0.013846153846153848</v>
      </c>
      <c r="C105" s="1">
        <v>1.5795454545454548</v>
      </c>
      <c r="E105" s="4">
        <f t="shared" si="1"/>
        <v>0.008765910349</v>
      </c>
      <c r="F105" s="3"/>
      <c r="G105" s="1">
        <f>Foglio1!A105</f>
        <v>11519</v>
      </c>
      <c r="H105" s="3">
        <f>Foglio1!D105</f>
        <v>0.01923076923</v>
      </c>
      <c r="I105" s="1">
        <f>Foglio2!G105</f>
        <v>1.346153846</v>
      </c>
      <c r="J105" s="3">
        <f t="shared" si="2"/>
        <v>0.01428571429</v>
      </c>
    </row>
    <row r="106" ht="14.25" customHeight="1">
      <c r="A106" s="1">
        <v>11621.0</v>
      </c>
      <c r="B106" s="3">
        <v>0.009230769230769233</v>
      </c>
      <c r="C106" s="1">
        <v>1.6136363636363633</v>
      </c>
      <c r="E106" s="4">
        <f t="shared" si="1"/>
        <v>0.005720476706</v>
      </c>
      <c r="F106" s="3"/>
      <c r="G106" s="1">
        <f>Foglio1!A106</f>
        <v>11570</v>
      </c>
      <c r="H106" s="3">
        <f>Foglio1!D106</f>
        <v>0.01384615385</v>
      </c>
      <c r="I106" s="1">
        <f>Foglio2!G106</f>
        <v>1.336538462</v>
      </c>
      <c r="J106" s="3">
        <f t="shared" si="2"/>
        <v>0.01035971223</v>
      </c>
    </row>
    <row r="107" ht="14.25" customHeight="1">
      <c r="A107" s="1">
        <v>11672.0</v>
      </c>
      <c r="B107" s="3">
        <v>0.005384615384615384</v>
      </c>
      <c r="C107" s="1">
        <v>1.590909090909091</v>
      </c>
      <c r="E107" s="4">
        <f t="shared" si="1"/>
        <v>0.003384615385</v>
      </c>
      <c r="F107" s="3"/>
      <c r="G107" s="1">
        <f>Foglio1!A107</f>
        <v>11621</v>
      </c>
      <c r="H107" s="3">
        <f>Foglio1!D107</f>
        <v>0.009230769231</v>
      </c>
      <c r="I107" s="1">
        <f>Foglio2!G107</f>
        <v>1.365384615</v>
      </c>
      <c r="J107" s="3">
        <f t="shared" si="2"/>
        <v>0.00676056338</v>
      </c>
    </row>
    <row r="108" ht="14.25" customHeight="1">
      <c r="A108" s="1">
        <v>11723.0</v>
      </c>
      <c r="B108" s="3">
        <v>0.0023076923076923083</v>
      </c>
      <c r="C108" s="1">
        <v>1.590909090909091</v>
      </c>
      <c r="E108" s="4">
        <f t="shared" si="1"/>
        <v>0.001450549451</v>
      </c>
      <c r="F108" s="3"/>
      <c r="G108" s="1">
        <f>Foglio1!A108</f>
        <v>11672</v>
      </c>
      <c r="H108" s="3">
        <f>Foglio1!D108</f>
        <v>0.005384615385</v>
      </c>
      <c r="I108" s="1">
        <f>Foglio2!G108</f>
        <v>1.346153846</v>
      </c>
      <c r="J108" s="3">
        <f t="shared" si="2"/>
        <v>0.004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2026-03-16T08:46:19Z</dcterms:created>
  <dc:creator>antonio ippolito</dc:creator>
</cp:coreProperties>
</file>